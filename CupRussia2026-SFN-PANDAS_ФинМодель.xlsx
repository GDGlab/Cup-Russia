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iy/Downloads/"/>
    </mc:Choice>
  </mc:AlternateContent>
  <xr:revisionPtr revIDLastSave="0" documentId="13_ncr:1_{DA6DA34D-4427-D440-8EB7-71B379F9E577}" xr6:coauthVersionLast="47" xr6:coauthVersionMax="47" xr10:uidLastSave="{00000000-0000-0000-0000-000000000000}"/>
  <bookViews>
    <workbookView xWindow="560" yWindow="500" windowWidth="28240" windowHeight="16120" activeTab="1" xr2:uid="{D53DCE3F-8772-A04E-950E-D579865D0133}"/>
  </bookViews>
  <sheets>
    <sheet name="Segments" sheetId="9" r:id="rId1"/>
    <sheet name="Assumptions" sheetId="1" r:id="rId2"/>
    <sheet name="AUM Build-up" sheetId="7" r:id="rId3"/>
    <sheet name="P&amp;L" sheetId="3" r:id="rId4"/>
    <sheet name="DCF" sheetId="4" r:id="rId5"/>
    <sheet name="Метрики" sheetId="10" r:id="rId6"/>
    <sheet name="Sensivity Analysis" sheetId="5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4" l="1"/>
  <c r="K21" i="4"/>
  <c r="L21" i="4"/>
  <c r="E33" i="1"/>
  <c r="G11" i="3" s="1"/>
  <c r="L32" i="1"/>
  <c r="O32" i="1"/>
  <c r="O31" i="1"/>
  <c r="O30" i="1"/>
  <c r="O33" i="1"/>
  <c r="G9" i="7"/>
  <c r="G10" i="7" s="1"/>
  <c r="G11" i="7" s="1"/>
  <c r="G12" i="7" s="1"/>
  <c r="G13" i="7" s="1"/>
  <c r="G14" i="7" s="1"/>
  <c r="G15" i="7" s="1"/>
  <c r="G16" i="7" s="1"/>
  <c r="G17" i="7" s="1"/>
  <c r="G18" i="7" s="1"/>
  <c r="G8" i="7"/>
  <c r="F8" i="7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E8" i="7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C8" i="7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E8" i="4"/>
  <c r="E6" i="4"/>
  <c r="E5" i="4"/>
  <c r="G9" i="10"/>
  <c r="N55" i="1"/>
  <c r="I6" i="3"/>
  <c r="C6" i="4" s="1"/>
  <c r="I7" i="3"/>
  <c r="C7" i="4" s="1"/>
  <c r="I8" i="3"/>
  <c r="C8" i="4" s="1"/>
  <c r="I9" i="3"/>
  <c r="C9" i="4" s="1"/>
  <c r="I10" i="3"/>
  <c r="C10" i="4" s="1"/>
  <c r="I11" i="3"/>
  <c r="C11" i="4" s="1"/>
  <c r="I12" i="3"/>
  <c r="C12" i="4" s="1"/>
  <c r="I13" i="3"/>
  <c r="C13" i="4" s="1"/>
  <c r="I14" i="3"/>
  <c r="C14" i="4" s="1"/>
  <c r="I15" i="3"/>
  <c r="C15" i="4" s="1"/>
  <c r="I16" i="3"/>
  <c r="C16" i="4" s="1"/>
  <c r="I5" i="3"/>
  <c r="C5" i="4" s="1"/>
  <c r="G7" i="3" l="1"/>
  <c r="G12" i="3"/>
  <c r="G10" i="3"/>
  <c r="G16" i="3"/>
  <c r="G13" i="3"/>
  <c r="G15" i="3"/>
  <c r="G5" i="3"/>
  <c r="G8" i="3"/>
  <c r="G9" i="3"/>
  <c r="G6" i="3"/>
  <c r="G14" i="3"/>
  <c r="H7" i="7"/>
  <c r="B7" i="7"/>
  <c r="G10" i="9"/>
  <c r="E24" i="1"/>
  <c r="G7" i="9"/>
  <c r="G8" i="9"/>
  <c r="G9" i="9"/>
  <c r="G6" i="9"/>
  <c r="N61" i="1"/>
  <c r="N66" i="1"/>
  <c r="E22" i="1"/>
  <c r="L8" i="4" s="1"/>
  <c r="L9" i="4" s="1"/>
  <c r="G9" i="4" s="1"/>
  <c r="N67" i="1" l="1"/>
  <c r="G15" i="4"/>
  <c r="G11" i="4"/>
  <c r="G8" i="4"/>
  <c r="G7" i="4"/>
  <c r="G12" i="4"/>
  <c r="G6" i="4"/>
  <c r="G16" i="4"/>
  <c r="G5" i="4"/>
  <c r="G10" i="4"/>
  <c r="G13" i="4"/>
  <c r="G14" i="4"/>
  <c r="H8" i="7"/>
  <c r="I8" i="7" s="1"/>
  <c r="I7" i="7"/>
  <c r="B8" i="7"/>
  <c r="M19" i="1"/>
  <c r="M18" i="1" l="1"/>
  <c r="L30" i="1"/>
  <c r="H9" i="7"/>
  <c r="H10" i="7" s="1"/>
  <c r="L7" i="7"/>
  <c r="K7" i="7"/>
  <c r="B10" i="7"/>
  <c r="B9" i="7"/>
  <c r="B11" i="7"/>
  <c r="B12" i="7" l="1"/>
  <c r="F15" i="3"/>
  <c r="H15" i="3" s="1"/>
  <c r="F16" i="3"/>
  <c r="H16" i="3" s="1"/>
  <c r="F14" i="3"/>
  <c r="H14" i="3" s="1"/>
  <c r="F13" i="3"/>
  <c r="H13" i="3" s="1"/>
  <c r="F6" i="3"/>
  <c r="H6" i="3" s="1"/>
  <c r="F12" i="3"/>
  <c r="H12" i="3" s="1"/>
  <c r="F8" i="3"/>
  <c r="H8" i="3" s="1"/>
  <c r="F9" i="3"/>
  <c r="H9" i="3" s="1"/>
  <c r="F11" i="3"/>
  <c r="H11" i="3" s="1"/>
  <c r="F7" i="3"/>
  <c r="H7" i="3" s="1"/>
  <c r="F10" i="3"/>
  <c r="H10" i="3" s="1"/>
  <c r="F5" i="3"/>
  <c r="H5" i="3" s="1"/>
  <c r="I9" i="7"/>
  <c r="M7" i="7"/>
  <c r="J8" i="7" s="1"/>
  <c r="K8" i="7" s="1"/>
  <c r="D5" i="3"/>
  <c r="H11" i="7"/>
  <c r="I11" i="7" s="1"/>
  <c r="I10" i="7"/>
  <c r="B13" i="7" l="1"/>
  <c r="L8" i="7"/>
  <c r="M8" i="7" s="1"/>
  <c r="J9" i="7" s="1"/>
  <c r="H12" i="7"/>
  <c r="D6" i="3" l="1"/>
  <c r="K9" i="7"/>
  <c r="L9" i="7"/>
  <c r="H13" i="7"/>
  <c r="I13" i="7" s="1"/>
  <c r="I12" i="7"/>
  <c r="B14" i="7"/>
  <c r="B15" i="7" l="1"/>
  <c r="M9" i="7"/>
  <c r="J10" i="7" s="1"/>
  <c r="K10" i="7" s="1"/>
  <c r="D7" i="3"/>
  <c r="H14" i="7"/>
  <c r="I14" i="7" s="1"/>
  <c r="B16" i="7" l="1"/>
  <c r="L10" i="7"/>
  <c r="D8" i="3" s="1"/>
  <c r="H15" i="7"/>
  <c r="I15" i="7" s="1"/>
  <c r="B17" i="7" l="1"/>
  <c r="B18" i="7"/>
  <c r="M10" i="7"/>
  <c r="J11" i="7" s="1"/>
  <c r="K11" i="7" s="1"/>
  <c r="H16" i="7"/>
  <c r="I16" i="7" s="1"/>
  <c r="L11" i="7" l="1"/>
  <c r="D9" i="3" s="1"/>
  <c r="H17" i="7"/>
  <c r="I17" i="7" s="1"/>
  <c r="M11" i="7" l="1"/>
  <c r="J12" i="7" s="1"/>
  <c r="K12" i="7" s="1"/>
  <c r="H18" i="7"/>
  <c r="L12" i="7" l="1"/>
  <c r="M12" i="7" s="1"/>
  <c r="J13" i="7" s="1"/>
  <c r="L13" i="7" s="1"/>
  <c r="I18" i="7"/>
  <c r="K13" i="7" l="1"/>
  <c r="D11" i="3" s="1"/>
  <c r="D10" i="3"/>
  <c r="M13" i="7" l="1"/>
  <c r="J14" i="7" s="1"/>
  <c r="K14" i="7" s="1"/>
  <c r="L14" i="7" l="1"/>
  <c r="M14" i="7" s="1"/>
  <c r="J15" i="7" s="1"/>
  <c r="K15" i="7" s="1"/>
  <c r="D12" i="3" l="1"/>
  <c r="L15" i="7"/>
  <c r="M15" i="7" s="1"/>
  <c r="J16" i="7" s="1"/>
  <c r="K16" i="7" s="1"/>
  <c r="L16" i="7" l="1"/>
  <c r="D14" i="3" s="1"/>
  <c r="D13" i="3"/>
  <c r="M16" i="7" l="1"/>
  <c r="J17" i="7" s="1"/>
  <c r="K17" i="7" s="1"/>
  <c r="L17" i="7" l="1"/>
  <c r="D15" i="3" s="1"/>
  <c r="M17" i="7" l="1"/>
  <c r="J18" i="7" s="1"/>
  <c r="K18" i="7" s="1"/>
  <c r="L18" i="7" l="1"/>
  <c r="C5" i="3" s="1" a="1"/>
  <c r="C5" i="3" s="1"/>
  <c r="E5" i="3" s="1"/>
  <c r="J5" i="3" s="1"/>
  <c r="K5" i="3" s="1"/>
  <c r="L5" i="3" s="1"/>
  <c r="D16" i="3" l="1"/>
  <c r="M18" i="7"/>
  <c r="E9" i="3"/>
  <c r="J9" i="3" s="1"/>
  <c r="K9" i="3" s="1"/>
  <c r="L9" i="3" s="1"/>
  <c r="D9" i="4" s="1"/>
  <c r="F9" i="4" s="1"/>
  <c r="H9" i="4" s="1"/>
  <c r="E15" i="3"/>
  <c r="J15" i="3" s="1"/>
  <c r="K15" i="3" s="1"/>
  <c r="L15" i="3" s="1"/>
  <c r="D15" i="4" s="1"/>
  <c r="F15" i="4" s="1"/>
  <c r="H15" i="4" s="1"/>
  <c r="E11" i="3"/>
  <c r="J11" i="3" s="1"/>
  <c r="K11" i="3" s="1"/>
  <c r="L11" i="3" s="1"/>
  <c r="D11" i="4" s="1"/>
  <c r="F11" i="4" s="1"/>
  <c r="H11" i="4" s="1"/>
  <c r="E7" i="3"/>
  <c r="J7" i="3" s="1"/>
  <c r="K7" i="3" s="1"/>
  <c r="L7" i="3" s="1"/>
  <c r="D7" i="4" s="1"/>
  <c r="F7" i="4" s="1"/>
  <c r="H7" i="4" s="1"/>
  <c r="E16" i="3"/>
  <c r="J16" i="3" s="1"/>
  <c r="K16" i="3" s="1"/>
  <c r="L16" i="3" s="1"/>
  <c r="D16" i="4" s="1"/>
  <c r="F16" i="4" s="1"/>
  <c r="H16" i="4" s="1"/>
  <c r="E13" i="3"/>
  <c r="J13" i="3" s="1"/>
  <c r="K13" i="3" s="1"/>
  <c r="L13" i="3" s="1"/>
  <c r="D13" i="4" s="1"/>
  <c r="F13" i="4" s="1"/>
  <c r="H13" i="4" s="1"/>
  <c r="E10" i="3"/>
  <c r="J10" i="3" s="1"/>
  <c r="K10" i="3" s="1"/>
  <c r="L10" i="3" s="1"/>
  <c r="D10" i="4" s="1"/>
  <c r="F10" i="4" s="1"/>
  <c r="H10" i="4" s="1"/>
  <c r="E14" i="3"/>
  <c r="J14" i="3" s="1"/>
  <c r="K14" i="3" s="1"/>
  <c r="L14" i="3" s="1"/>
  <c r="D14" i="4" s="1"/>
  <c r="F14" i="4" s="1"/>
  <c r="H14" i="4" s="1"/>
  <c r="E6" i="3"/>
  <c r="J6" i="3" s="1"/>
  <c r="K6" i="3" s="1"/>
  <c r="L6" i="3" s="1"/>
  <c r="D6" i="4" s="1"/>
  <c r="F6" i="4" s="1"/>
  <c r="H6" i="4" s="1"/>
  <c r="E8" i="3"/>
  <c r="J8" i="3" s="1"/>
  <c r="K8" i="3" s="1"/>
  <c r="L8" i="3" s="1"/>
  <c r="D8" i="4" s="1"/>
  <c r="F8" i="4" s="1"/>
  <c r="H8" i="4" s="1"/>
  <c r="E12" i="3"/>
  <c r="J12" i="3" s="1"/>
  <c r="K12" i="3" s="1"/>
  <c r="L12" i="3" s="1"/>
  <c r="D12" i="4" s="1"/>
  <c r="F12" i="4" s="1"/>
  <c r="H12" i="4" s="1"/>
  <c r="D5" i="4"/>
  <c r="F5" i="4" s="1"/>
  <c r="D8" i="10" l="1"/>
  <c r="E8" i="10"/>
  <c r="F8" i="10"/>
  <c r="G10" i="10"/>
  <c r="G11" i="10" s="1"/>
  <c r="G8" i="10"/>
  <c r="G13" i="10" s="1"/>
  <c r="H5" i="4"/>
  <c r="L10" i="4" l="1"/>
  <c r="E10" i="5" s="1"/>
  <c r="J12" i="5" s="1"/>
  <c r="L11" i="4"/>
  <c r="G14" i="10" s="1"/>
  <c r="E6" i="5"/>
  <c r="E8" i="5"/>
  <c r="E7" i="5"/>
  <c r="E9" i="5"/>
  <c r="G15" i="10"/>
  <c r="K16" i="5" l="1"/>
  <c r="J16" i="5"/>
  <c r="J13" i="5"/>
  <c r="K13" i="5"/>
  <c r="K14" i="5"/>
  <c r="J14" i="5"/>
  <c r="J15" i="5"/>
  <c r="K15" i="5"/>
  <c r="K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<sst xmlns="http://schemas.openxmlformats.org/spreadsheetml/2006/main" count="228" uniqueCount="153">
  <si>
    <t>Макроэкономические показатели</t>
  </si>
  <si>
    <t>Параметры рынка и финансовой модели</t>
  </si>
  <si>
    <t>Название</t>
  </si>
  <si>
    <t>Значение</t>
  </si>
  <si>
    <t>Горизонт планирования</t>
  </si>
  <si>
    <t>3 года</t>
  </si>
  <si>
    <t>Год старта</t>
  </si>
  <si>
    <t>2027 год</t>
  </si>
  <si>
    <t>Ключевая ставка</t>
  </si>
  <si>
    <t>Вознаграждение УК за управление</t>
  </si>
  <si>
    <t>Премия за риск</t>
  </si>
  <si>
    <t>Рост ВВП (прогноз)</t>
  </si>
  <si>
    <t>ИПЦ</t>
  </si>
  <si>
    <t>OPEX</t>
  </si>
  <si>
    <t>Маркетинговые затраты</t>
  </si>
  <si>
    <t>CAPEX</t>
  </si>
  <si>
    <t>Ставка дисконтирования</t>
  </si>
  <si>
    <t>Pass rate экзамена</t>
  </si>
  <si>
    <t>Целевые показатели</t>
  </si>
  <si>
    <t>Каналы продвижения</t>
  </si>
  <si>
    <t>Канал 1: Онлайн-курс + ВУЗы</t>
  </si>
  <si>
    <t>Канал 2: AI-агент</t>
  </si>
  <si>
    <t>Стоимость</t>
  </si>
  <si>
    <t>Completion курса (прошли все модули)</t>
  </si>
  <si>
    <t>Охват оффлайн-мероприятий за 3 года</t>
  </si>
  <si>
    <t>Активация бонуса (внесли 4000 ₽)</t>
  </si>
  <si>
    <t>Регистрация на онлайн-курс рандомышей</t>
  </si>
  <si>
    <t>Открыл и внимательно прочитал пуш-уведомление</t>
  </si>
  <si>
    <t>Перешёл по пушу в раздел ЗПИФ / мини-лендинг</t>
  </si>
  <si>
    <t>Охват молодых пользователей 18–35 лет</t>
  </si>
  <si>
    <t>Заинтересовался и перешёл в раздел инвестиций</t>
  </si>
  <si>
    <t>Канал 3: коллаборации с партнерами</t>
  </si>
  <si>
    <t>Охват аудитории партнёров</t>
  </si>
  <si>
    <t>Получил предложение кешбэка в ЗПИФ</t>
  </si>
  <si>
    <t>Сделал первую покупку ЗПИФа</t>
  </si>
  <si>
    <t>3-летняя выживаемость</t>
  </si>
  <si>
    <t>Конверсия на этапах</t>
  </si>
  <si>
    <t>Сегмент</t>
  </si>
  <si>
    <t>Кто это?</t>
  </si>
  <si>
    <t>Доля от новых клиентов</t>
  </si>
  <si>
    <t>Средний первый чек</t>
  </si>
  <si>
    <t>Средний monthly top-up</t>
  </si>
  <si>
    <t>3-летний retention</t>
  </si>
  <si>
    <t>Ожидаемый средний портфель на конец 3 года</t>
  </si>
  <si>
    <t>Основной канал привлечения</t>
  </si>
  <si>
    <t>Студенты региональных вузов, низкий доход</t>
  </si>
  <si>
    <t>Молодые специалисты (IT, финтех, 22–30 лет)</t>
  </si>
  <si>
    <t>Студенты топ-вуз (ВШЭ, МГУ и т.д.)</t>
  </si>
  <si>
    <t>Молодые предприниматели, блогеры, криптаны</t>
  </si>
  <si>
    <t>Коллаборации + AI</t>
  </si>
  <si>
    <t xml:space="preserve">A — “ТОП” СТУДЕНТЫ </t>
  </si>
  <si>
    <t>C — МАССОВЫЙ СТУДЕНТ</t>
  </si>
  <si>
    <t>X — New Rich</t>
  </si>
  <si>
    <t xml:space="preserve">B — МОЛОДЫЕ ПРОФИ </t>
  </si>
  <si>
    <t>Онлайн курс + AI</t>
  </si>
  <si>
    <t>Параметр</t>
  </si>
  <si>
    <t>Общее количество пайщиков компании к концу периода</t>
  </si>
  <si>
    <t>Целевая доля молодёжи (до 35 лет) к концу периода</t>
  </si>
  <si>
    <t>Общее количество новых молодых пайщиков за 3 года (сверх основных)</t>
  </si>
  <si>
    <t>Welcome bonus для прошедших онлайн-курс</t>
  </si>
  <si>
    <t>Создание онлайн-курса</t>
  </si>
  <si>
    <t xml:space="preserve">Разработка AI-агента </t>
  </si>
  <si>
    <t>Стоимость (тыс. руб)</t>
  </si>
  <si>
    <t>Создание нового интерфейса в Сбере (реал тайм доходность и тд)</t>
  </si>
  <si>
    <t>Коллаборации с компаниями-партнерами (S7, WB, Ozon и др.)</t>
  </si>
  <si>
    <t>Посещение топ-ВУЗов (лекции и ивенты)</t>
  </si>
  <si>
    <t>Аналитика и тестирование</t>
  </si>
  <si>
    <t>Административная поддержка онлайн-курса</t>
  </si>
  <si>
    <t>Итог</t>
  </si>
  <si>
    <t>3-х годовой retention (средний)</t>
  </si>
  <si>
    <t>Квартал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</si>
  <si>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</si>
  <si>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</si>
  <si>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</si>
  <si>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</si>
  <si>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</si>
  <si>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</si>
  <si>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</si>
  <si>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</si>
  <si>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</si>
  <si>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</si>
  <si>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</si>
  <si>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</si>
  <si>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Новые C (с учетом оттока)</t>
  </si>
  <si>
    <t>Новые A (с учетом оттока)</t>
  </si>
  <si>
    <t>Новые B (с учетом оттока)</t>
  </si>
  <si>
    <t>Новые D (с учетом оттока)</t>
  </si>
  <si>
    <t>Новые X (с учетом оттока)</t>
  </si>
  <si>
    <t>Всего новых (с учетом оттока)</t>
  </si>
  <si>
    <t>D - Нецелевой сегмент</t>
  </si>
  <si>
    <t>AI</t>
  </si>
  <si>
    <t>Люди среднего возраста (30-35 лет) с плохой кредитной историей</t>
  </si>
  <si>
    <t>Рост активов</t>
  </si>
  <si>
    <t xml:space="preserve">Итого молодежи </t>
  </si>
  <si>
    <t>Итого молодежи</t>
  </si>
  <si>
    <t>Средний портфель молодёжи на конец 3 года (те кто вошли в начале)</t>
  </si>
  <si>
    <t>Total Top-up всего (тыс. руб)</t>
  </si>
  <si>
    <t>Quarterly Top-up</t>
  </si>
  <si>
    <t>Beg AUM</t>
  </si>
  <si>
    <t>Inv. Return</t>
  </si>
  <si>
    <t>Ending AUM</t>
  </si>
  <si>
    <t>Mngm fee</t>
  </si>
  <si>
    <t>EBIT</t>
  </si>
  <si>
    <t>Налог на прибыль</t>
  </si>
  <si>
    <t>Net Profit</t>
  </si>
  <si>
    <t>Вознаграждение за прибыль</t>
  </si>
  <si>
    <t>Коммисия УК за управление</t>
  </si>
  <si>
    <t>Расходы на прямой маркетинг</t>
  </si>
  <si>
    <t>Адм. расходы</t>
  </si>
  <si>
    <t>Итог OPEX</t>
  </si>
  <si>
    <t>Итог Общая выручка</t>
  </si>
  <si>
    <t>Срок службы</t>
  </si>
  <si>
    <t>10 лет</t>
  </si>
  <si>
    <t>5 лет</t>
  </si>
  <si>
    <t>Амортизация</t>
  </si>
  <si>
    <t>FCF</t>
  </si>
  <si>
    <t>DCF</t>
  </si>
  <si>
    <t>WACC</t>
  </si>
  <si>
    <t>Q %</t>
  </si>
  <si>
    <t>Compound Rate</t>
  </si>
  <si>
    <t>NPV</t>
  </si>
  <si>
    <t>NPV (тыс. руб)</t>
  </si>
  <si>
    <t>IRR</t>
  </si>
  <si>
    <t xml:space="preserve"> </t>
  </si>
  <si>
    <t>Метрика</t>
  </si>
  <si>
    <t>Итого / Среднее</t>
  </si>
  <si>
    <t>Gross Margin</t>
  </si>
  <si>
    <t>LTV / CAC</t>
  </si>
  <si>
    <t>Доля молодёжи в новых клиентах</t>
  </si>
  <si>
    <t>LTV</t>
  </si>
  <si>
    <t>ROI</t>
  </si>
  <si>
    <t>CAC (руб)</t>
  </si>
  <si>
    <t>-</t>
  </si>
  <si>
    <t>Количество новых клиентов</t>
  </si>
  <si>
    <t>OPEX + CAPEX + MARKETING</t>
  </si>
  <si>
    <t>NPV base</t>
  </si>
  <si>
    <t>NPV pos</t>
  </si>
  <si>
    <t>NPV neg</t>
  </si>
  <si>
    <t>Изменение</t>
  </si>
  <si>
    <t>10%+-</t>
  </si>
  <si>
    <t>2п.п. -+</t>
  </si>
  <si>
    <t>10%-+</t>
  </si>
  <si>
    <t>Изменение NPV</t>
  </si>
  <si>
    <t>DPP</t>
  </si>
  <si>
    <t xml:space="preserve">Остались </t>
  </si>
  <si>
    <t>Не топ-вузы охват</t>
  </si>
  <si>
    <t>Посмотрел персональный расчёт упущенной выгоды и бонуса 1000 ₽(за онлайн-курс)</t>
  </si>
  <si>
    <t>Сделал первую покупку ЗПИФа (после прохождения онлайн курса)</t>
  </si>
  <si>
    <t>Оффлайн лекции</t>
  </si>
  <si>
    <t>25 мес.</t>
  </si>
  <si>
    <t>Финансовая модель PANDAS</t>
  </si>
  <si>
    <t>Регистрация на онлайн-курс (сразу после лекции, без учета не топ вузов)</t>
  </si>
  <si>
    <t>Агрегированные свободные денежные потоки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</si>
</sst>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164" formatCode="#,##0\ &quot;₽&quot;"/>
    <numFmt numFmtId="165" formatCode="#,##0.00\ &quot;₽&quot;"/>
  </numFmts>
  <fonts count="10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26"/>
      <color theme="0"/>
      <name val="Calibri"/>
      <family val="2"/>
      <scheme val="minor"/>
    </font>
    <font>
      <b/>
      <sz val="26"/>
      <color rgb="FFFFFFFF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3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4472C4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86">
    <xf numFmtId="0" fontId="0" fillId="0" borderId="0" xfId="0"/>
    <xf numFmtId="9" fontId="0" fillId="0" borderId="0" xfId="0" applyNumberFormat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6" fontId="0" fillId="0" borderId="0" xfId="0" applyNumberFormat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6" fontId="0" fillId="0" borderId="0" xfId="0" applyNumberFormat="1" applyAlignment="1">
      <alignment wrapText="1"/>
    </xf>
    <xf numFmtId="0" fontId="6" fillId="2" borderId="1" xfId="1" applyFont="1" applyBorder="1" applyAlignment="1">
      <alignment horizontal="center" vertical="center" shrinkToFit="1"/>
    </xf>
    <xf numFmtId="0" fontId="7" fillId="6" borderId="7" xfId="0" applyFont="1" applyFill="1" applyBorder="1" applyAlignment="1">
      <alignment horizontal="center" vertical="center" shrinkToFit="1"/>
    </xf>
    <xf numFmtId="0" fontId="7" fillId="6" borderId="8" xfId="0" applyFont="1" applyFill="1" applyBorder="1" applyAlignment="1">
      <alignment horizontal="center" vertical="center" shrinkToFit="1"/>
    </xf>
    <xf numFmtId="0" fontId="7" fillId="6" borderId="9" xfId="0" applyFont="1" applyFill="1" applyBorder="1" applyAlignment="1">
      <alignment horizontal="center" vertical="center" shrinkToFit="1"/>
    </xf>
    <xf numFmtId="0" fontId="7" fillId="6" borderId="10" xfId="0" applyFont="1" applyFill="1" applyBorder="1" applyAlignment="1">
      <alignment horizontal="center" vertical="center" shrinkToFit="1"/>
    </xf>
    <xf numFmtId="0" fontId="7" fillId="6" borderId="11" xfId="0" applyFont="1" applyFill="1" applyBorder="1" applyAlignment="1">
      <alignment horizontal="center" vertical="center" shrinkToFit="1"/>
    </xf>
    <xf numFmtId="0" fontId="7" fillId="6" borderId="12" xfId="0" applyFont="1" applyFill="1" applyBorder="1" applyAlignment="1">
      <alignment horizontal="center" vertical="center" shrinkToFit="1"/>
    </xf>
    <xf numFmtId="0" fontId="4" fillId="3" borderId="1" xfId="2" applyBorder="1" applyAlignment="1">
      <alignment wrapText="1"/>
    </xf>
    <xf numFmtId="9" fontId="4" fillId="3" borderId="1" xfId="2" applyNumberFormat="1" applyBorder="1"/>
    <xf numFmtId="6" fontId="4" fillId="3" borderId="1" xfId="2" applyNumberFormat="1" applyBorder="1"/>
    <xf numFmtId="0" fontId="4" fillId="3" borderId="1" xfId="2" applyBorder="1"/>
    <xf numFmtId="9" fontId="4" fillId="3" borderId="1" xfId="2" applyNumberFormat="1" applyBorder="1" applyAlignment="1">
      <alignment wrapText="1"/>
    </xf>
    <xf numFmtId="6" fontId="4" fillId="3" borderId="1" xfId="2" applyNumberFormat="1" applyBorder="1" applyAlignment="1">
      <alignment wrapText="1"/>
    </xf>
    <xf numFmtId="0" fontId="2" fillId="5" borderId="1" xfId="4" applyFont="1" applyBorder="1"/>
    <xf numFmtId="0" fontId="2" fillId="4" borderId="1" xfId="3" applyFont="1" applyBorder="1"/>
    <xf numFmtId="0" fontId="2" fillId="4" borderId="1" xfId="3" applyFont="1" applyBorder="1" applyAlignment="1">
      <alignment wrapText="1"/>
    </xf>
    <xf numFmtId="3" fontId="4" fillId="3" borderId="1" xfId="2" applyNumberFormat="1" applyBorder="1" applyAlignment="1">
      <alignment horizontal="center" vertical="center"/>
    </xf>
    <xf numFmtId="0" fontId="4" fillId="3" borderId="1" xfId="2" applyBorder="1" applyAlignment="1">
      <alignment horizontal="center" vertical="center"/>
    </xf>
    <xf numFmtId="9" fontId="4" fillId="3" borderId="1" xfId="2" applyNumberFormat="1" applyBorder="1" applyAlignment="1">
      <alignment horizontal="center" vertical="center"/>
    </xf>
    <xf numFmtId="9" fontId="4" fillId="3" borderId="2" xfId="2" applyNumberFormat="1" applyBorder="1" applyAlignment="1">
      <alignment horizontal="center" vertical="center"/>
    </xf>
    <xf numFmtId="0" fontId="4" fillId="3" borderId="3" xfId="2" applyBorder="1" applyAlignment="1">
      <alignment horizontal="center" vertical="center"/>
    </xf>
    <xf numFmtId="0" fontId="4" fillId="3" borderId="4" xfId="2" applyBorder="1" applyAlignment="1">
      <alignment horizontal="center" vertical="center"/>
    </xf>
    <xf numFmtId="2" fontId="4" fillId="3" borderId="1" xfId="2" applyNumberFormat="1" applyBorder="1" applyAlignment="1">
      <alignment horizontal="center" vertical="center"/>
    </xf>
    <xf numFmtId="10" fontId="4" fillId="3" borderId="1" xfId="2" applyNumberFormat="1" applyBorder="1" applyAlignment="1">
      <alignment horizontal="center" vertical="center"/>
    </xf>
    <xf numFmtId="0" fontId="4" fillId="3" borderId="5" xfId="2" applyBorder="1" applyAlignment="1">
      <alignment horizontal="center" vertical="center"/>
    </xf>
    <xf numFmtId="10" fontId="4" fillId="3" borderId="2" xfId="2" applyNumberFormat="1" applyBorder="1" applyAlignment="1">
      <alignment horizontal="center" vertical="center"/>
    </xf>
    <xf numFmtId="10" fontId="4" fillId="3" borderId="1" xfId="2" applyNumberFormat="1" applyBorder="1" applyAlignment="1">
      <alignment horizontal="center" vertical="center"/>
    </xf>
    <xf numFmtId="165" fontId="4" fillId="3" borderId="1" xfId="2" applyNumberFormat="1" applyBorder="1" applyAlignment="1">
      <alignment horizontal="center" vertical="center"/>
    </xf>
    <xf numFmtId="0" fontId="4" fillId="3" borderId="1" xfId="2" applyBorder="1" applyAlignment="1">
      <alignment horizontal="center" vertical="center"/>
    </xf>
    <xf numFmtId="6" fontId="4" fillId="3" borderId="1" xfId="2" applyNumberFormat="1" applyBorder="1" applyAlignment="1">
      <alignment horizontal="center" vertical="center"/>
    </xf>
    <xf numFmtId="9" fontId="4" fillId="3" borderId="1" xfId="2" applyNumberFormat="1" applyBorder="1" applyAlignment="1">
      <alignment horizontal="center" vertical="center"/>
    </xf>
    <xf numFmtId="0" fontId="2" fillId="5" borderId="1" xfId="4" applyFont="1" applyBorder="1" applyAlignment="1">
      <alignment horizontal="center" vertical="center"/>
    </xf>
    <xf numFmtId="0" fontId="2" fillId="4" borderId="1" xfId="3" applyFont="1" applyBorder="1" applyAlignment="1">
      <alignment horizontal="center" vertical="center"/>
    </xf>
    <xf numFmtId="0" fontId="2" fillId="4" borderId="1" xfId="3" applyFont="1" applyBorder="1" applyAlignment="1">
      <alignment horizontal="center" vertical="center" wrapText="1"/>
    </xf>
    <xf numFmtId="0" fontId="2" fillId="4" borderId="0" xfId="3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5" borderId="5" xfId="4" applyFont="1" applyBorder="1" applyAlignment="1">
      <alignment horizontal="center" vertical="center"/>
    </xf>
    <xf numFmtId="0" fontId="2" fillId="4" borderId="5" xfId="3" applyFont="1" applyBorder="1" applyAlignment="1">
      <alignment horizontal="center" vertical="center"/>
    </xf>
    <xf numFmtId="0" fontId="2" fillId="4" borderId="1" xfId="3" applyFont="1" applyBorder="1" applyAlignment="1">
      <alignment horizontal="center" vertical="center"/>
    </xf>
    <xf numFmtId="0" fontId="2" fillId="4" borderId="2" xfId="3" applyFont="1" applyBorder="1" applyAlignment="1">
      <alignment horizontal="center" vertical="center"/>
    </xf>
    <xf numFmtId="0" fontId="2" fillId="4" borderId="3" xfId="3" applyFont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 shrinkToFit="1"/>
    </xf>
    <xf numFmtId="0" fontId="2" fillId="5" borderId="1" xfId="4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4" fillId="3" borderId="1" xfId="2" applyNumberFormat="1" applyBorder="1" applyAlignment="1">
      <alignment horizontal="center" vertical="center"/>
    </xf>
    <xf numFmtId="2" fontId="4" fillId="3" borderId="1" xfId="2" applyNumberFormat="1" applyBorder="1" applyAlignment="1">
      <alignment horizontal="center" vertical="center"/>
    </xf>
    <xf numFmtId="164" fontId="4" fillId="3" borderId="1" xfId="2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2" fillId="4" borderId="1" xfId="3" applyNumberFormat="1" applyFont="1" applyBorder="1" applyAlignment="1">
      <alignment horizontal="center" vertical="center"/>
    </xf>
    <xf numFmtId="0" fontId="2" fillId="5" borderId="1" xfId="4" applyFont="1" applyBorder="1" applyAlignment="1">
      <alignment horizontal="center" vertical="center" wrapText="1"/>
    </xf>
    <xf numFmtId="0" fontId="2" fillId="4" borderId="1" xfId="3" applyFont="1" applyBorder="1" applyAlignment="1">
      <alignment horizontal="center" vertical="center" wrapText="1"/>
    </xf>
    <xf numFmtId="165" fontId="4" fillId="3" borderId="1" xfId="2" applyNumberFormat="1" applyBorder="1" applyAlignment="1">
      <alignment horizontal="center" vertical="center"/>
    </xf>
    <xf numFmtId="0" fontId="2" fillId="5" borderId="1" xfId="4" applyFont="1" applyBorder="1" applyAlignment="1">
      <alignment horizontal="center" vertical="center" wrapText="1"/>
    </xf>
    <xf numFmtId="0" fontId="2" fillId="5" borderId="2" xfId="4" applyFont="1" applyBorder="1" applyAlignment="1">
      <alignment horizontal="center" vertical="center" wrapText="1"/>
    </xf>
    <xf numFmtId="0" fontId="2" fillId="5" borderId="1" xfId="4" applyFont="1" applyBorder="1" applyAlignment="1">
      <alignment horizontal="center" vertical="center" wrapText="1" shrinkToFit="1"/>
    </xf>
    <xf numFmtId="6" fontId="4" fillId="3" borderId="2" xfId="2" applyNumberFormat="1" applyBorder="1" applyAlignment="1">
      <alignment horizontal="center" vertical="center"/>
    </xf>
    <xf numFmtId="164" fontId="4" fillId="3" borderId="2" xfId="2" applyNumberFormat="1" applyBorder="1" applyAlignment="1">
      <alignment horizontal="center" vertical="center"/>
    </xf>
    <xf numFmtId="164" fontId="4" fillId="3" borderId="0" xfId="2" applyNumberFormat="1" applyAlignment="1">
      <alignment horizontal="center" vertical="center"/>
    </xf>
    <xf numFmtId="0" fontId="8" fillId="2" borderId="0" xfId="1" applyFont="1" applyAlignment="1">
      <alignment horizontal="center" vertical="center"/>
    </xf>
    <xf numFmtId="0" fontId="8" fillId="2" borderId="1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2" xfId="3" applyFont="1" applyBorder="1" applyAlignment="1">
      <alignment horizontal="center" vertical="center" wrapText="1"/>
    </xf>
    <xf numFmtId="0" fontId="2" fillId="4" borderId="4" xfId="3" applyFont="1" applyBorder="1" applyAlignment="1">
      <alignment horizontal="center" vertical="center" wrapText="1"/>
    </xf>
    <xf numFmtId="1" fontId="4" fillId="3" borderId="1" xfId="2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5">
    <cellStyle name="20% — акцент1" xfId="2" builtinId="30"/>
    <cellStyle name="40% — акцент1" xfId="3" builtinId="31"/>
    <cellStyle name="60% — акцент1" xfId="4" builtinId="32"/>
    <cellStyle name="Акцент1" xfId="1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C0000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'Sensivity Analysis'!$J$12:$J$16</c:f>
              <c:numCache>
                <c:formatCode>#\ ##0.00\ "₽"</c:formatCode>
                <c:ptCount val="5"/>
                <c:pt idx="0">
                  <c:v>-965.76485369407237</c:v>
                </c:pt>
                <c:pt idx="1">
                  <c:v>-1458.57485369407</c:v>
                </c:pt>
                <c:pt idx="2">
                  <c:v>-3245.4548536940711</c:v>
                </c:pt>
                <c:pt idx="3">
                  <c:v>-4421.7348536940699</c:v>
                </c:pt>
                <c:pt idx="4">
                  <c:v>-5398.9348536940706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9-7A46-8229-D4677DF1E429}"/>
            </c:ext>
          </c:extLst>
        </c:ser>
        <c:ser>
          <c:idx val="1"/>
          <c:order val="1"/>
          <c:spPr>
            <a:solidFill>
              <a:srgbClr val="92D05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'Sensivity Analysis'!$K$12:$K$16</c:f>
              <c:numCache>
                <c:formatCode>#\ ##0.00\ "₽"</c:formatCode>
                <c:ptCount val="5"/>
                <c:pt idx="0">
                  <c:v>965.7651463059301</c:v>
                </c:pt>
                <c:pt idx="1">
                  <c:v>1544.9451463059268</c:v>
                </c:pt>
                <c:pt idx="2">
                  <c:v>3232.2351463059276</c:v>
                </c:pt>
                <c:pt idx="3">
                  <c:v>4416.9351463059284</c:v>
                </c:pt>
                <c:pt idx="4">
                  <c:v>5383.2351463059276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9-7A46-8229-D4677DF1E4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637312831"/>
        <c:axId val="412399551"/>
      </c:barChart>
      <c:catAx>
        <c:axId val="63731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2399551"/>
        <c:crosses val="autoZero"/>
        <c:auto val="1"/>
        <c:lblAlgn val="ctr"/>
        <c:lblOffset val="100"/>
        <c:noMultiLvlLbl val="0"/>
      </c:catAx>
      <c:valAx>
        <c:axId val="4123995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731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11</xdr:row>
      <xdr:rowOff>171450</xdr:rowOff>
    </xdr:from>
    <xdr:to>
      <xdr:col>8</xdr:col>
      <xdr:colOff>209550</xdr:colOff>
      <xdr:row>25</xdr:row>
      <xdr:rowOff>69850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5376BF-FEA5-5688-B47D-320B7F347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BC6D-47E6-5E4E-8330-52509EEFBF28}">
  <dimension ref="A1:H24"/>
  <sheetViews>
    <sheetView zoomScale="75" workbookViewId="0">
      <selection activeCell="E29" sqref="E29"/>
    </sheetView>
  </sheetViews>
  <sheetFormatPr baseColWidth="10" defaultRowHeight="16" x14ac:dyDescent="0.2"/>
  <cols>
    <col min="1" max="1" width="29" customWidth="1"/>
    <col min="2" max="3" width="32" customWidth="1"/>
    <col min="4" max="4" width="20.6640625" customWidth="1"/>
    <col min="5" max="5" width="23" customWidth="1"/>
    <col min="6" max="6" width="18.5" customWidth="1"/>
    <col min="7" max="7" width="43" customWidth="1"/>
    <col min="8" max="8" width="29.1640625" customWidth="1"/>
  </cols>
  <sheetData>
    <row r="1" spans="1:8" x14ac:dyDescent="0.2">
      <c r="A1" s="15" t="s">
        <v>150</v>
      </c>
      <c r="B1" s="16"/>
      <c r="C1" s="16"/>
      <c r="D1" s="16"/>
      <c r="E1" s="16"/>
      <c r="F1" s="16"/>
      <c r="G1" s="17"/>
    </row>
    <row r="2" spans="1:8" x14ac:dyDescent="0.2">
      <c r="A2" s="18"/>
      <c r="B2" s="19"/>
      <c r="C2" s="19"/>
      <c r="D2" s="19"/>
      <c r="E2" s="19"/>
      <c r="F2" s="19"/>
      <c r="G2" s="20"/>
    </row>
    <row r="5" spans="1:8" x14ac:dyDescent="0.2">
      <c r="A5" s="27" t="s">
        <v>37</v>
      </c>
      <c r="B5" s="27" t="s">
        <v>38</v>
      </c>
      <c r="C5" s="27" t="s">
        <v>39</v>
      </c>
      <c r="D5" s="27" t="s">
        <v>40</v>
      </c>
      <c r="E5" s="27" t="s">
        <v>41</v>
      </c>
      <c r="F5" s="27" t="s">
        <v>42</v>
      </c>
      <c r="G5" s="27" t="s">
        <v>43</v>
      </c>
      <c r="H5" s="27" t="s">
        <v>44</v>
      </c>
    </row>
    <row r="6" spans="1:8" ht="35" customHeight="1" x14ac:dyDescent="0.2">
      <c r="A6" s="28" t="s">
        <v>51</v>
      </c>
      <c r="B6" s="21" t="s">
        <v>45</v>
      </c>
      <c r="C6" s="22">
        <v>0.31</v>
      </c>
      <c r="D6" s="23">
        <v>5500</v>
      </c>
      <c r="E6" s="23">
        <v>2200</v>
      </c>
      <c r="F6" s="22">
        <v>0.42</v>
      </c>
      <c r="G6" s="23">
        <f>D6+E6*36</f>
        <v>84700</v>
      </c>
      <c r="H6" s="24" t="s">
        <v>54</v>
      </c>
    </row>
    <row r="7" spans="1:8" ht="46" customHeight="1" x14ac:dyDescent="0.2">
      <c r="A7" s="28" t="s">
        <v>53</v>
      </c>
      <c r="B7" s="21" t="s">
        <v>46</v>
      </c>
      <c r="C7" s="22">
        <v>0.33</v>
      </c>
      <c r="D7" s="23">
        <v>12000</v>
      </c>
      <c r="E7" s="23">
        <v>8000</v>
      </c>
      <c r="F7" s="22">
        <v>0.68</v>
      </c>
      <c r="G7" s="23">
        <f t="shared" ref="G7:G10" si="0">D7+E7*36</f>
        <v>300000</v>
      </c>
      <c r="H7" s="24" t="s">
        <v>49</v>
      </c>
    </row>
    <row r="8" spans="1:8" ht="54" customHeight="1" x14ac:dyDescent="0.2">
      <c r="A8" s="28" t="s">
        <v>50</v>
      </c>
      <c r="B8" s="21" t="s">
        <v>47</v>
      </c>
      <c r="C8" s="22">
        <v>0.24</v>
      </c>
      <c r="D8" s="23">
        <v>18000</v>
      </c>
      <c r="E8" s="23">
        <v>9000</v>
      </c>
      <c r="F8" s="22">
        <v>0.75</v>
      </c>
      <c r="G8" s="23">
        <f t="shared" si="0"/>
        <v>342000</v>
      </c>
      <c r="H8" s="24" t="s">
        <v>148</v>
      </c>
    </row>
    <row r="9" spans="1:8" s="8" customFormat="1" ht="47" customHeight="1" x14ac:dyDescent="0.2">
      <c r="A9" s="29" t="s">
        <v>52</v>
      </c>
      <c r="B9" s="21" t="s">
        <v>48</v>
      </c>
      <c r="C9" s="25">
        <v>0.1</v>
      </c>
      <c r="D9" s="26">
        <v>215000</v>
      </c>
      <c r="E9" s="26">
        <v>70000</v>
      </c>
      <c r="F9" s="25">
        <v>0.55000000000000004</v>
      </c>
      <c r="G9" s="23">
        <f t="shared" si="0"/>
        <v>2735000</v>
      </c>
      <c r="H9" s="21" t="s">
        <v>49</v>
      </c>
    </row>
    <row r="10" spans="1:8" ht="39" customHeight="1" x14ac:dyDescent="0.2">
      <c r="A10" s="28" t="s">
        <v>89</v>
      </c>
      <c r="B10" s="21" t="s">
        <v>91</v>
      </c>
      <c r="C10" s="22">
        <v>0.02</v>
      </c>
      <c r="D10" s="24">
        <v>2000</v>
      </c>
      <c r="E10" s="24">
        <v>1000</v>
      </c>
      <c r="F10" s="22">
        <v>0.02</v>
      </c>
      <c r="G10" s="24">
        <f t="shared" si="0"/>
        <v>38000</v>
      </c>
      <c r="H10" s="24" t="s">
        <v>90</v>
      </c>
    </row>
    <row r="11" spans="1:8" x14ac:dyDescent="0.2">
      <c r="C11" s="1"/>
    </row>
    <row r="13" spans="1:8" x14ac:dyDescent="0.2">
      <c r="F13" s="1"/>
    </row>
    <row r="17" spans="5:6" x14ac:dyDescent="0.2">
      <c r="E17" s="5"/>
    </row>
    <row r="18" spans="5:6" x14ac:dyDescent="0.2">
      <c r="E18" s="5"/>
    </row>
    <row r="19" spans="5:6" x14ac:dyDescent="0.2">
      <c r="E19" s="5"/>
    </row>
    <row r="20" spans="5:6" x14ac:dyDescent="0.2">
      <c r="E20" s="13"/>
    </row>
    <row r="21" spans="5:6" x14ac:dyDescent="0.2">
      <c r="F21" s="5"/>
    </row>
    <row r="22" spans="5:6" x14ac:dyDescent="0.2">
      <c r="F22" s="5"/>
    </row>
    <row r="23" spans="5:6" x14ac:dyDescent="0.2">
      <c r="F23" s="5"/>
    </row>
    <row r="24" spans="5:6" x14ac:dyDescent="0.2">
      <c r="F24" s="13"/>
    </row>
  </sheetData>
  <mergeCells count="1">
    <mergeCell ref="A1:G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C8F9-2A18-1C4D-A87F-FDFD523E74F0}">
  <dimension ref="A1:AD83"/>
  <sheetViews>
    <sheetView tabSelected="1" zoomScale="59" zoomScaleNormal="115" workbookViewId="0">
      <selection activeCell="Y32" sqref="Y32"/>
    </sheetView>
  </sheetViews>
  <sheetFormatPr baseColWidth="10" defaultRowHeight="16" x14ac:dyDescent="0.2"/>
  <cols>
    <col min="4" max="4" width="26.6640625" customWidth="1"/>
    <col min="5" max="5" width="15" customWidth="1"/>
    <col min="7" max="7" width="18.1640625" customWidth="1"/>
    <col min="10" max="10" width="18.33203125" customWidth="1"/>
    <col min="12" max="12" width="15.33203125" customWidth="1"/>
    <col min="13" max="13" width="36.5" customWidth="1"/>
    <col min="14" max="14" width="23.83203125" customWidth="1"/>
    <col min="15" max="15" width="20.83203125" customWidth="1"/>
    <col min="16" max="16" width="14.33203125" customWidth="1"/>
  </cols>
  <sheetData>
    <row r="1" spans="1:30" x14ac:dyDescent="0.2">
      <c r="A1" s="15" t="s">
        <v>150</v>
      </c>
      <c r="B1" s="16"/>
      <c r="C1" s="16"/>
      <c r="D1" s="16"/>
      <c r="E1" s="16"/>
      <c r="F1" s="16"/>
      <c r="G1" s="1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">
      <c r="A2" s="18"/>
      <c r="B2" s="19"/>
      <c r="C2" s="19"/>
      <c r="D2" s="19"/>
      <c r="E2" s="19"/>
      <c r="F2" s="19"/>
      <c r="G2" s="2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x14ac:dyDescent="0.2">
      <c r="A5" s="11"/>
      <c r="B5" s="56" t="s">
        <v>0</v>
      </c>
      <c r="C5" s="56"/>
      <c r="D5" s="56"/>
      <c r="E5" s="56"/>
      <c r="F5" s="56"/>
      <c r="G5" s="56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x14ac:dyDescent="0.2">
      <c r="A6" s="11"/>
      <c r="B6" s="56"/>
      <c r="C6" s="56"/>
      <c r="D6" s="56"/>
      <c r="E6" s="56"/>
      <c r="F6" s="56"/>
      <c r="G6" s="5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1"/>
      <c r="B7" s="52" t="s">
        <v>11</v>
      </c>
      <c r="C7" s="52"/>
      <c r="D7" s="52"/>
      <c r="E7" s="37">
        <v>1.2E-2</v>
      </c>
      <c r="F7" s="31"/>
      <c r="G7" s="3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">
      <c r="A8" s="11"/>
      <c r="B8" s="52" t="s">
        <v>12</v>
      </c>
      <c r="C8" s="52"/>
      <c r="D8" s="52"/>
      <c r="E8" s="37">
        <v>5.8999999999999997E-2</v>
      </c>
      <c r="F8" s="31"/>
      <c r="G8" s="3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">
      <c r="A9" s="11"/>
      <c r="B9" s="52" t="s">
        <v>8</v>
      </c>
      <c r="C9" s="52"/>
      <c r="D9" s="52"/>
      <c r="E9" s="37">
        <v>0.155</v>
      </c>
      <c r="F9" s="31"/>
      <c r="G9" s="3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8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76" t="s">
        <v>18</v>
      </c>
      <c r="K12" s="76"/>
      <c r="L12" s="76"/>
      <c r="M12" s="76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6" hidden="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76"/>
      <c r="K13" s="76"/>
      <c r="L13" s="76"/>
      <c r="M13" s="76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ht="16" hidden="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76"/>
      <c r="K14" s="76"/>
      <c r="L14" s="76"/>
      <c r="M14" s="76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ht="19" customHeight="1" x14ac:dyDescent="0.2">
      <c r="A15" s="11"/>
      <c r="B15" s="56" t="s">
        <v>1</v>
      </c>
      <c r="C15" s="56"/>
      <c r="D15" s="56"/>
      <c r="E15" s="56"/>
      <c r="F15" s="56"/>
      <c r="G15" s="56"/>
      <c r="H15" s="11"/>
      <c r="I15" s="11"/>
      <c r="J15" s="77"/>
      <c r="K15" s="77"/>
      <c r="L15" s="77"/>
      <c r="M15" s="77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t="22" customHeight="1" x14ac:dyDescent="0.2">
      <c r="A16" s="11"/>
      <c r="B16" s="56"/>
      <c r="C16" s="56"/>
      <c r="D16" s="56"/>
      <c r="E16" s="56"/>
      <c r="F16" s="56"/>
      <c r="G16" s="56"/>
      <c r="H16" s="11"/>
      <c r="I16" s="11"/>
      <c r="J16" s="45" t="s">
        <v>55</v>
      </c>
      <c r="K16" s="45"/>
      <c r="L16" s="45"/>
      <c r="M16" s="59" t="s">
        <v>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ht="38" customHeight="1" x14ac:dyDescent="0.2">
      <c r="A17" s="11"/>
      <c r="B17" s="50" t="s">
        <v>2</v>
      </c>
      <c r="C17" s="50"/>
      <c r="D17" s="50"/>
      <c r="E17" s="50" t="s">
        <v>3</v>
      </c>
      <c r="F17" s="50"/>
      <c r="G17" s="50"/>
      <c r="H17" s="11"/>
      <c r="I17" s="11"/>
      <c r="J17" s="68" t="s">
        <v>57</v>
      </c>
      <c r="K17" s="68"/>
      <c r="L17" s="68"/>
      <c r="M17" s="40">
        <v>0.1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ht="31" customHeight="1" x14ac:dyDescent="0.2">
      <c r="A18" s="11"/>
      <c r="B18" s="51" t="s">
        <v>4</v>
      </c>
      <c r="C18" s="51"/>
      <c r="D18" s="51"/>
      <c r="E18" s="38" t="s">
        <v>5</v>
      </c>
      <c r="F18" s="38"/>
      <c r="G18" s="38"/>
      <c r="H18" s="11"/>
      <c r="I18" s="11"/>
      <c r="J18" s="68" t="s">
        <v>58</v>
      </c>
      <c r="K18" s="68"/>
      <c r="L18" s="68"/>
      <c r="M18" s="61">
        <f>N67</f>
        <v>26245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ht="39" customHeight="1" x14ac:dyDescent="0.2">
      <c r="A19" s="11"/>
      <c r="B19" s="52" t="s">
        <v>6</v>
      </c>
      <c r="C19" s="52"/>
      <c r="D19" s="52"/>
      <c r="E19" s="31" t="s">
        <v>7</v>
      </c>
      <c r="F19" s="31"/>
      <c r="G19" s="31"/>
      <c r="H19" s="11"/>
      <c r="I19" s="11"/>
      <c r="J19" s="68" t="s">
        <v>95</v>
      </c>
      <c r="K19" s="68"/>
      <c r="L19" s="68"/>
      <c r="M19" s="43">
        <f>Segments!C6*Segments!G6+Segments!C7*Segments!G7+Segments!C8*Segments!G8+Segments!C9*Segments!G9+Segments!C10*Segments!G10</f>
        <v>481597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ht="37" customHeight="1" x14ac:dyDescent="0.2">
      <c r="A20" s="11"/>
      <c r="B20" s="53" t="s">
        <v>9</v>
      </c>
      <c r="C20" s="54"/>
      <c r="D20" s="55"/>
      <c r="E20" s="32">
        <v>0.01</v>
      </c>
      <c r="F20" s="31"/>
      <c r="G20" s="31"/>
      <c r="H20" s="11"/>
      <c r="I20" s="11"/>
      <c r="J20" s="68" t="s">
        <v>56</v>
      </c>
      <c r="K20" s="68"/>
      <c r="L20" s="68"/>
      <c r="M20" s="61">
        <v>500000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">
      <c r="A21" s="11"/>
      <c r="B21" s="52" t="s">
        <v>10</v>
      </c>
      <c r="C21" s="52"/>
      <c r="D21" s="52"/>
      <c r="E21" s="32">
        <v>0.03</v>
      </c>
      <c r="F21" s="31"/>
      <c r="G21" s="3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2">
      <c r="A22" s="11"/>
      <c r="B22" s="52" t="s">
        <v>16</v>
      </c>
      <c r="C22" s="52"/>
      <c r="D22" s="52"/>
      <c r="E22" s="37">
        <f>E9+E21</f>
        <v>0.185</v>
      </c>
      <c r="F22" s="31"/>
      <c r="G22" s="3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">
      <c r="A23" s="11"/>
      <c r="B23" s="53" t="s">
        <v>92</v>
      </c>
      <c r="C23" s="54"/>
      <c r="D23" s="55"/>
      <c r="E23" s="39">
        <v>0.08</v>
      </c>
      <c r="F23" s="34"/>
      <c r="G23" s="35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2">
      <c r="A24" s="11"/>
      <c r="B24" s="52" t="s">
        <v>69</v>
      </c>
      <c r="C24" s="52"/>
      <c r="D24" s="52"/>
      <c r="E24" s="32">
        <f>Segments!F6*Segments!C6+Segments!F7*Segments!C7+Segments!F8*Segments!C8+Segments!F9*Segments!C9</f>
        <v>0.58960000000000001</v>
      </c>
      <c r="F24" s="31"/>
      <c r="G24" s="3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2">
      <c r="A27" s="11"/>
      <c r="B27" s="11"/>
      <c r="C27" s="11"/>
      <c r="D27" s="56" t="s">
        <v>13</v>
      </c>
      <c r="E27" s="56"/>
      <c r="F27" s="78"/>
      <c r="G27" s="78"/>
      <c r="H27" s="78"/>
      <c r="I27" s="78"/>
      <c r="J27" s="57" t="s">
        <v>14</v>
      </c>
      <c r="K27" s="57"/>
      <c r="L27" s="57"/>
      <c r="M27" s="78"/>
      <c r="N27" s="56" t="s">
        <v>15</v>
      </c>
      <c r="O27" s="56"/>
      <c r="P27" s="5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2">
      <c r="A28" s="11"/>
      <c r="B28" s="11"/>
      <c r="C28" s="11"/>
      <c r="D28" s="56"/>
      <c r="E28" s="56"/>
      <c r="F28" s="78"/>
      <c r="G28" s="78"/>
      <c r="H28" s="78"/>
      <c r="I28" s="78"/>
      <c r="J28" s="57"/>
      <c r="K28" s="57"/>
      <c r="L28" s="57"/>
      <c r="M28" s="78"/>
      <c r="N28" s="56"/>
      <c r="O28" s="56"/>
      <c r="P28" s="56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41" customHeight="1" x14ac:dyDescent="0.2">
      <c r="A29" s="11"/>
      <c r="B29" s="11"/>
      <c r="C29" s="11"/>
      <c r="D29" s="59" t="s">
        <v>2</v>
      </c>
      <c r="E29" s="59" t="s">
        <v>22</v>
      </c>
      <c r="F29" s="11"/>
      <c r="G29" s="11"/>
      <c r="H29" s="11"/>
      <c r="I29" s="11"/>
      <c r="J29" s="45" t="s">
        <v>2</v>
      </c>
      <c r="K29" s="45"/>
      <c r="L29" s="59" t="s">
        <v>22</v>
      </c>
      <c r="M29" s="11"/>
      <c r="N29" s="59" t="s">
        <v>2</v>
      </c>
      <c r="O29" s="59" t="s">
        <v>62</v>
      </c>
      <c r="P29" s="59" t="s">
        <v>111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58" customHeight="1" x14ac:dyDescent="0.2">
      <c r="A30" s="11"/>
      <c r="B30" s="11"/>
      <c r="C30" s="11"/>
      <c r="D30" s="47" t="s">
        <v>65</v>
      </c>
      <c r="E30" s="42">
        <v>9000</v>
      </c>
      <c r="F30" s="11"/>
      <c r="G30" s="11"/>
      <c r="H30" s="11"/>
      <c r="I30" s="11"/>
      <c r="J30" s="79" t="s">
        <v>59</v>
      </c>
      <c r="K30" s="80"/>
      <c r="L30" s="81">
        <f>N67/E24</f>
        <v>44513.22930800543</v>
      </c>
      <c r="M30" s="11"/>
      <c r="N30" s="47" t="s">
        <v>61</v>
      </c>
      <c r="O30" s="42">
        <f>7000</f>
        <v>7000</v>
      </c>
      <c r="P30" s="42" t="s">
        <v>112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47" customHeight="1" x14ac:dyDescent="0.2">
      <c r="A31" s="11"/>
      <c r="B31" s="11"/>
      <c r="C31" s="11"/>
      <c r="D31" s="47" t="s">
        <v>66</v>
      </c>
      <c r="E31" s="42">
        <v>3000</v>
      </c>
      <c r="F31" s="11"/>
      <c r="G31" s="11"/>
      <c r="H31" s="11"/>
      <c r="I31" s="11"/>
      <c r="J31" s="79" t="s">
        <v>64</v>
      </c>
      <c r="K31" s="80"/>
      <c r="L31" s="42">
        <v>14000</v>
      </c>
      <c r="M31" s="11"/>
      <c r="N31" s="46" t="s">
        <v>60</v>
      </c>
      <c r="O31" s="42">
        <f>4000</f>
        <v>4000</v>
      </c>
      <c r="P31" s="42" t="s">
        <v>113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64" customHeight="1" x14ac:dyDescent="0.2">
      <c r="A32" s="11"/>
      <c r="B32" s="11"/>
      <c r="C32" s="11"/>
      <c r="D32" s="47" t="s">
        <v>67</v>
      </c>
      <c r="E32" s="42">
        <v>5000</v>
      </c>
      <c r="F32" s="11"/>
      <c r="G32" s="11"/>
      <c r="H32" s="11"/>
      <c r="I32" s="11"/>
      <c r="J32" s="52" t="s">
        <v>68</v>
      </c>
      <c r="K32" s="52"/>
      <c r="L32" s="81">
        <f>SUM(L30:L31)</f>
        <v>58513.22930800543</v>
      </c>
      <c r="M32" s="11"/>
      <c r="N32" s="47" t="s">
        <v>63</v>
      </c>
      <c r="O32" s="42">
        <f>4000</f>
        <v>4000</v>
      </c>
      <c r="P32" s="42" t="s">
        <v>113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7" x14ac:dyDescent="0.2">
      <c r="A33" s="11"/>
      <c r="B33" s="11"/>
      <c r="C33" s="11"/>
      <c r="D33" s="47" t="s">
        <v>68</v>
      </c>
      <c r="E33" s="42">
        <f>SUM(E30:E32)</f>
        <v>17000</v>
      </c>
      <c r="F33" s="11"/>
      <c r="G33" s="11"/>
      <c r="H33" s="11"/>
      <c r="I33" s="11"/>
      <c r="J33" s="11"/>
      <c r="K33" s="11"/>
      <c r="L33" s="11"/>
      <c r="M33" s="11"/>
      <c r="N33" s="46" t="s">
        <v>68</v>
      </c>
      <c r="O33" s="42">
        <f>SUM(O30:O32)</f>
        <v>15000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31" x14ac:dyDescent="0.2">
      <c r="A40" s="11"/>
      <c r="B40" s="11"/>
      <c r="C40" s="10"/>
      <c r="D40" s="10"/>
      <c r="E40" s="10"/>
      <c r="F40" s="1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31" x14ac:dyDescent="0.2">
      <c r="A41" s="11"/>
      <c r="B41" s="11"/>
      <c r="C41" s="10"/>
      <c r="D41" s="10"/>
      <c r="E41" s="10"/>
      <c r="F41" s="1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2"/>
      <c r="U43" s="12"/>
      <c r="V43" s="12"/>
      <c r="W43" s="12"/>
      <c r="X43" s="11"/>
      <c r="Y43" s="11"/>
      <c r="Z43" s="11"/>
      <c r="AA43" s="11"/>
      <c r="AB43" s="11"/>
      <c r="AC43" s="11"/>
      <c r="AD43" s="11"/>
    </row>
    <row r="44" spans="1:30" ht="16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58" t="s">
        <v>19</v>
      </c>
      <c r="K44" s="58"/>
      <c r="L44" s="58"/>
      <c r="M44" s="58"/>
      <c r="N44" s="58"/>
      <c r="O44" s="58"/>
      <c r="P44" s="58"/>
      <c r="Q44" s="11"/>
      <c r="R44" s="11"/>
      <c r="S44" s="11"/>
      <c r="T44" s="11"/>
      <c r="U44" s="64"/>
      <c r="V44" s="64"/>
      <c r="W44" s="11"/>
      <c r="X44" s="11"/>
      <c r="Y44" s="11"/>
      <c r="Z44" s="11"/>
      <c r="AA44" s="11"/>
      <c r="AB44" s="11"/>
      <c r="AC44" s="11"/>
      <c r="AD44" s="11"/>
    </row>
    <row r="45" spans="1:30" ht="16" customHeight="1" x14ac:dyDescent="0.2">
      <c r="A45" s="11"/>
      <c r="B45" s="11"/>
      <c r="C45" s="11"/>
      <c r="D45" s="11"/>
      <c r="E45" s="12"/>
      <c r="F45" s="12"/>
      <c r="G45" s="12"/>
      <c r="H45" s="12"/>
      <c r="I45" s="12"/>
      <c r="J45" s="58"/>
      <c r="K45" s="58"/>
      <c r="L45" s="58"/>
      <c r="M45" s="58"/>
      <c r="N45" s="58"/>
      <c r="O45" s="58"/>
      <c r="P45" s="58"/>
      <c r="Q45" s="11"/>
      <c r="R45" s="11"/>
      <c r="S45" s="11"/>
      <c r="T45" s="11"/>
      <c r="U45" s="82"/>
      <c r="V45" s="82"/>
      <c r="W45" s="11"/>
      <c r="X45" s="11"/>
      <c r="Y45" s="11"/>
      <c r="Z45" s="11"/>
      <c r="AA45" s="11"/>
      <c r="AB45" s="11"/>
      <c r="AC45" s="11"/>
      <c r="AD45" s="11"/>
    </row>
    <row r="46" spans="1:30" ht="51" customHeight="1" x14ac:dyDescent="0.2">
      <c r="A46" s="11"/>
      <c r="B46" s="11"/>
      <c r="C46" s="11"/>
      <c r="D46" s="11"/>
      <c r="E46" s="12"/>
      <c r="F46" s="12"/>
      <c r="G46" s="12"/>
      <c r="H46" s="12"/>
      <c r="I46" s="12"/>
      <c r="J46" s="56"/>
      <c r="K46" s="56"/>
      <c r="L46" s="56"/>
      <c r="M46" s="56"/>
      <c r="N46" s="56"/>
      <c r="O46" s="56"/>
      <c r="P46" s="56"/>
      <c r="Q46" s="11"/>
      <c r="R46" s="11"/>
      <c r="S46" s="11"/>
      <c r="T46" s="11"/>
      <c r="U46" s="82"/>
      <c r="V46" s="82"/>
      <c r="W46" s="11"/>
      <c r="X46" s="11"/>
      <c r="Y46" s="11"/>
      <c r="Z46" s="11"/>
      <c r="AA46" s="11"/>
      <c r="AB46" s="11"/>
      <c r="AC46" s="11"/>
      <c r="AD46" s="11"/>
    </row>
    <row r="47" spans="1:30" ht="38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45" t="s">
        <v>20</v>
      </c>
      <c r="K47" s="45"/>
      <c r="L47" s="45"/>
      <c r="M47" s="46" t="s">
        <v>145</v>
      </c>
      <c r="N47" s="30">
        <v>48250</v>
      </c>
      <c r="O47" s="31"/>
      <c r="P47" s="31"/>
      <c r="Q47" s="11"/>
      <c r="R47" s="11"/>
      <c r="S47" s="11"/>
      <c r="T47" s="11"/>
      <c r="U47" s="82"/>
      <c r="V47" s="82"/>
      <c r="W47" s="11"/>
      <c r="X47" s="11"/>
      <c r="Y47" s="11"/>
      <c r="Z47" s="11"/>
      <c r="AA47" s="11"/>
      <c r="AB47" s="11"/>
      <c r="AC47" s="11"/>
      <c r="AD47" s="11"/>
    </row>
    <row r="48" spans="1:30" ht="33" customHeight="1" x14ac:dyDescent="0.2">
      <c r="A48" s="11"/>
      <c r="B48" s="11"/>
      <c r="C48" s="11"/>
      <c r="D48" s="11"/>
      <c r="E48" s="11"/>
      <c r="F48" s="11"/>
      <c r="G48" s="83"/>
      <c r="H48" s="11"/>
      <c r="I48" s="11"/>
      <c r="J48" s="45"/>
      <c r="K48" s="45"/>
      <c r="L48" s="45"/>
      <c r="M48" s="47" t="s">
        <v>24</v>
      </c>
      <c r="N48" s="31">
        <v>17000</v>
      </c>
      <c r="O48" s="31"/>
      <c r="P48" s="31"/>
      <c r="Q48" s="11"/>
      <c r="R48" s="11"/>
      <c r="S48" s="11"/>
      <c r="T48" s="11"/>
      <c r="U48" s="82"/>
      <c r="V48" s="82"/>
      <c r="W48" s="11"/>
      <c r="X48" s="11"/>
      <c r="Y48" s="11"/>
      <c r="Z48" s="11"/>
      <c r="AA48" s="11"/>
      <c r="AB48" s="11"/>
      <c r="AC48" s="11"/>
      <c r="AD48" s="11"/>
    </row>
    <row r="49" spans="1:30" ht="5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45"/>
      <c r="K49" s="45"/>
      <c r="L49" s="45"/>
      <c r="M49" s="47" t="s">
        <v>151</v>
      </c>
      <c r="N49" s="32">
        <v>0.25</v>
      </c>
      <c r="O49" s="31"/>
      <c r="P49" s="31"/>
      <c r="Q49" s="49" t="s">
        <v>36</v>
      </c>
      <c r="R49" s="11"/>
      <c r="S49" s="11"/>
      <c r="T49" s="11"/>
      <c r="U49" s="65"/>
      <c r="V49" s="12"/>
      <c r="W49" s="12"/>
      <c r="X49" s="12"/>
      <c r="Y49" s="12"/>
      <c r="Z49" s="11"/>
      <c r="AA49" s="11"/>
      <c r="AB49" s="11"/>
      <c r="AC49" s="11"/>
      <c r="AD49" s="11"/>
    </row>
    <row r="50" spans="1:30" ht="34" x14ac:dyDescent="0.2">
      <c r="A50" s="11"/>
      <c r="B50" s="11"/>
      <c r="C50" s="11"/>
      <c r="D50" s="11"/>
      <c r="E50" s="11"/>
      <c r="F50" s="11"/>
      <c r="G50" s="82"/>
      <c r="H50" s="82"/>
      <c r="I50" s="82"/>
      <c r="J50" s="45"/>
      <c r="K50" s="45"/>
      <c r="L50" s="45"/>
      <c r="M50" s="47" t="s">
        <v>26</v>
      </c>
      <c r="N50" s="33">
        <v>0.46</v>
      </c>
      <c r="O50" s="34"/>
      <c r="P50" s="35"/>
      <c r="Q50" s="49"/>
      <c r="R50" s="11"/>
      <c r="S50" s="11"/>
      <c r="T50" s="11"/>
      <c r="U50" s="84"/>
      <c r="V50" s="11"/>
      <c r="W50" s="11"/>
      <c r="X50" s="64"/>
      <c r="Y50" s="11"/>
      <c r="Z50" s="11"/>
      <c r="AA50" s="11"/>
      <c r="AB50" s="11"/>
      <c r="AC50" s="11"/>
      <c r="AD50" s="11"/>
    </row>
    <row r="51" spans="1:30" x14ac:dyDescent="0.2">
      <c r="A51" s="11"/>
      <c r="B51" s="11"/>
      <c r="C51" s="11"/>
      <c r="D51" s="11"/>
      <c r="E51" s="11"/>
      <c r="F51" s="11"/>
      <c r="G51" s="82"/>
      <c r="H51" s="82"/>
      <c r="I51" s="82"/>
      <c r="J51" s="45"/>
      <c r="K51" s="45"/>
      <c r="L51" s="45"/>
      <c r="M51" s="46" t="s">
        <v>23</v>
      </c>
      <c r="N51" s="32">
        <v>0.75</v>
      </c>
      <c r="O51" s="31"/>
      <c r="P51" s="31"/>
      <c r="Q51" s="49"/>
      <c r="R51" s="11"/>
      <c r="S51" s="11"/>
      <c r="T51" s="11"/>
      <c r="U51" s="82"/>
      <c r="V51" s="11"/>
      <c r="W51" s="82"/>
      <c r="X51" s="64"/>
      <c r="Y51" s="11"/>
      <c r="Z51" s="11"/>
      <c r="AA51" s="11"/>
      <c r="AB51" s="11"/>
      <c r="AC51" s="11"/>
      <c r="AD51" s="11"/>
    </row>
    <row r="52" spans="1:30" x14ac:dyDescent="0.2">
      <c r="A52" s="11"/>
      <c r="B52" s="11"/>
      <c r="C52" s="11"/>
      <c r="D52" s="11"/>
      <c r="E52" s="11"/>
      <c r="F52" s="11"/>
      <c r="G52" s="11"/>
      <c r="H52" s="11"/>
      <c r="I52" s="11"/>
      <c r="J52" s="45"/>
      <c r="K52" s="45"/>
      <c r="L52" s="45"/>
      <c r="M52" s="46" t="s">
        <v>17</v>
      </c>
      <c r="N52" s="32">
        <v>0.95</v>
      </c>
      <c r="O52" s="31"/>
      <c r="P52" s="31"/>
      <c r="Q52" s="49"/>
      <c r="R52" s="11"/>
      <c r="S52" s="11"/>
      <c r="T52" s="11"/>
      <c r="U52" s="84"/>
      <c r="V52" s="11"/>
      <c r="W52" s="82"/>
      <c r="X52" s="64"/>
      <c r="Y52" s="11"/>
      <c r="Z52" s="11"/>
      <c r="AA52" s="11"/>
      <c r="AB52" s="11"/>
      <c r="AC52" s="11"/>
      <c r="AD52" s="11"/>
    </row>
    <row r="53" spans="1:30" x14ac:dyDescent="0.2">
      <c r="A53" s="11"/>
      <c r="B53" s="11"/>
      <c r="C53" s="11"/>
      <c r="D53" s="11"/>
      <c r="E53" s="11"/>
      <c r="F53" s="11"/>
      <c r="G53" s="11"/>
      <c r="H53" s="11"/>
      <c r="I53" s="11"/>
      <c r="J53" s="45"/>
      <c r="K53" s="45"/>
      <c r="L53" s="45"/>
      <c r="M53" s="48" t="s">
        <v>25</v>
      </c>
      <c r="N53" s="32">
        <v>0.46329999999999999</v>
      </c>
      <c r="O53" s="31"/>
      <c r="P53" s="31"/>
      <c r="Q53" s="49"/>
      <c r="R53" s="11"/>
      <c r="S53" s="11"/>
      <c r="T53" s="11"/>
      <c r="U53" s="82"/>
      <c r="V53" s="11"/>
      <c r="W53" s="82"/>
      <c r="X53" s="64"/>
      <c r="Y53" s="11"/>
      <c r="Z53" s="11"/>
      <c r="AA53" s="11"/>
      <c r="AB53" s="11"/>
      <c r="AC53" s="11"/>
      <c r="AD53" s="11"/>
    </row>
    <row r="54" spans="1:30" x14ac:dyDescent="0.2">
      <c r="A54" s="11"/>
      <c r="B54" s="11"/>
      <c r="C54" s="11"/>
      <c r="D54" s="11"/>
      <c r="E54" s="11"/>
      <c r="F54" s="11"/>
      <c r="G54" s="11"/>
      <c r="H54" s="11"/>
      <c r="I54" s="11"/>
      <c r="J54" s="45"/>
      <c r="K54" s="45"/>
      <c r="L54" s="45"/>
      <c r="M54" s="46" t="s">
        <v>144</v>
      </c>
      <c r="N54" s="33">
        <v>0.38429999999999997</v>
      </c>
      <c r="O54" s="34"/>
      <c r="P54" s="35"/>
      <c r="Q54" s="11"/>
      <c r="R54" s="11"/>
      <c r="S54" s="11"/>
      <c r="T54" s="11"/>
      <c r="U54" s="11"/>
      <c r="V54" s="11"/>
      <c r="W54" s="82"/>
      <c r="X54" s="64"/>
      <c r="Y54" s="11"/>
      <c r="Z54" s="11"/>
      <c r="AA54" s="11"/>
      <c r="AB54" s="11"/>
      <c r="AC54" s="11"/>
      <c r="AD54" s="11"/>
    </row>
    <row r="55" spans="1:30" x14ac:dyDescent="0.2">
      <c r="A55" s="11"/>
      <c r="B55" s="11"/>
      <c r="C55" s="11"/>
      <c r="D55" s="11"/>
      <c r="E55" s="11"/>
      <c r="F55" s="11"/>
      <c r="G55" s="82"/>
      <c r="H55" s="82"/>
      <c r="I55" s="82"/>
      <c r="J55" s="45" t="s">
        <v>21</v>
      </c>
      <c r="K55" s="45"/>
      <c r="L55" s="45"/>
      <c r="M55" s="46" t="s">
        <v>93</v>
      </c>
      <c r="N55" s="31">
        <f>ROUNDDOWN(N48*N49*N52*N51*N53+N47*N51*N52*N53*N50*N54,0)</f>
        <v>4218</v>
      </c>
      <c r="O55" s="31"/>
      <c r="P55" s="31"/>
      <c r="Q55" s="11"/>
      <c r="R55" s="11"/>
      <c r="S55" s="11"/>
      <c r="T55" s="11"/>
      <c r="U55" s="11"/>
      <c r="V55" s="12"/>
      <c r="W55" s="11"/>
      <c r="X55" s="65"/>
      <c r="Y55" s="11"/>
      <c r="Z55" s="11"/>
      <c r="AA55" s="11"/>
      <c r="AB55" s="11"/>
      <c r="AC55" s="11"/>
      <c r="AD55" s="11"/>
    </row>
    <row r="56" spans="1:30" x14ac:dyDescent="0.2">
      <c r="A56" s="11"/>
      <c r="B56" s="11"/>
      <c r="C56" s="11"/>
      <c r="D56" s="11"/>
      <c r="E56" s="11"/>
      <c r="F56" s="11"/>
      <c r="G56" s="82"/>
      <c r="H56" s="82"/>
      <c r="I56" s="82"/>
      <c r="J56" s="45"/>
      <c r="K56" s="45"/>
      <c r="L56" s="45"/>
      <c r="M56" s="46" t="s">
        <v>29</v>
      </c>
      <c r="N56" s="31">
        <v>4500000</v>
      </c>
      <c r="O56" s="31"/>
      <c r="P56" s="31"/>
      <c r="Q56" s="49" t="s">
        <v>36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34" x14ac:dyDescent="0.2">
      <c r="A57" s="11"/>
      <c r="B57" s="11"/>
      <c r="C57" s="11"/>
      <c r="D57" s="11"/>
      <c r="E57" s="11"/>
      <c r="F57" s="11"/>
      <c r="G57" s="82"/>
      <c r="H57" s="82"/>
      <c r="I57" s="82"/>
      <c r="J57" s="45"/>
      <c r="K57" s="45"/>
      <c r="L57" s="45"/>
      <c r="M57" s="47" t="s">
        <v>27</v>
      </c>
      <c r="N57" s="32">
        <v>7.0000000000000007E-2</v>
      </c>
      <c r="O57" s="31"/>
      <c r="P57" s="31"/>
      <c r="Q57" s="49"/>
      <c r="R57" s="11"/>
      <c r="S57" s="12"/>
      <c r="T57" s="12"/>
      <c r="U57" s="12"/>
      <c r="V57" s="12"/>
      <c r="W57" s="11"/>
      <c r="X57" s="11"/>
      <c r="Y57" s="11"/>
      <c r="Z57" s="11"/>
      <c r="AA57" s="11"/>
      <c r="AB57" s="11"/>
      <c r="AC57" s="11"/>
      <c r="AD57" s="11"/>
    </row>
    <row r="58" spans="1:30" ht="34" x14ac:dyDescent="0.2">
      <c r="A58" s="11"/>
      <c r="B58" s="11"/>
      <c r="C58" s="11"/>
      <c r="D58" s="11"/>
      <c r="E58" s="11"/>
      <c r="F58" s="11"/>
      <c r="G58" s="82"/>
      <c r="H58" s="82"/>
      <c r="I58" s="82"/>
      <c r="J58" s="45"/>
      <c r="K58" s="45"/>
      <c r="L58" s="45"/>
      <c r="M58" s="47" t="s">
        <v>28</v>
      </c>
      <c r="N58" s="32">
        <v>0.33</v>
      </c>
      <c r="O58" s="31"/>
      <c r="P58" s="31"/>
      <c r="Q58" s="49"/>
      <c r="R58" s="11"/>
      <c r="S58" s="11"/>
      <c r="T58" s="11"/>
      <c r="U58" s="64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51" x14ac:dyDescent="0.2">
      <c r="A59" s="11"/>
      <c r="B59" s="11"/>
      <c r="C59" s="11"/>
      <c r="D59" s="11"/>
      <c r="E59" s="11"/>
      <c r="F59" s="11"/>
      <c r="G59" s="82"/>
      <c r="H59" s="82"/>
      <c r="I59" s="82"/>
      <c r="J59" s="45"/>
      <c r="K59" s="45"/>
      <c r="L59" s="45"/>
      <c r="M59" s="47" t="s">
        <v>146</v>
      </c>
      <c r="N59" s="32">
        <v>0.75</v>
      </c>
      <c r="O59" s="31"/>
      <c r="P59" s="31"/>
      <c r="Q59" s="49"/>
      <c r="R59" s="11"/>
      <c r="S59" s="11"/>
      <c r="T59" s="82"/>
      <c r="U59" s="64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7" x14ac:dyDescent="0.2">
      <c r="A60" s="11"/>
      <c r="B60" s="11"/>
      <c r="C60" s="11"/>
      <c r="D60" s="11"/>
      <c r="E60" s="11"/>
      <c r="F60" s="11"/>
      <c r="G60" s="82"/>
      <c r="H60" s="82"/>
      <c r="I60" s="82"/>
      <c r="J60" s="45"/>
      <c r="K60" s="45"/>
      <c r="L60" s="45"/>
      <c r="M60" s="47" t="s">
        <v>34</v>
      </c>
      <c r="N60" s="32">
        <v>0.31</v>
      </c>
      <c r="O60" s="31"/>
      <c r="P60" s="31"/>
      <c r="Q60" s="6"/>
      <c r="R60" s="11"/>
      <c r="S60" s="11"/>
      <c r="T60" s="82"/>
      <c r="U60" s="64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x14ac:dyDescent="0.2">
      <c r="A61" s="11"/>
      <c r="B61" s="11"/>
      <c r="C61" s="11"/>
      <c r="D61" s="11"/>
      <c r="E61" s="11"/>
      <c r="F61" s="11"/>
      <c r="G61" s="82"/>
      <c r="H61" s="82"/>
      <c r="I61" s="82"/>
      <c r="J61" s="45" t="s">
        <v>31</v>
      </c>
      <c r="K61" s="45"/>
      <c r="L61" s="45"/>
      <c r="M61" s="46" t="s">
        <v>94</v>
      </c>
      <c r="N61" s="31">
        <f>ROUNDDOWN(N56*N57*N58*N59*N60,0)</f>
        <v>24168</v>
      </c>
      <c r="O61" s="31"/>
      <c r="P61" s="31"/>
      <c r="Q61" s="11"/>
      <c r="R61" s="11"/>
      <c r="S61" s="11"/>
      <c r="T61" s="85"/>
      <c r="U61" s="64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x14ac:dyDescent="0.2">
      <c r="A62" s="11"/>
      <c r="B62" s="11"/>
      <c r="C62" s="11"/>
      <c r="D62" s="11"/>
      <c r="E62" s="11"/>
      <c r="F62" s="11"/>
      <c r="G62" s="82"/>
      <c r="H62" s="82"/>
      <c r="I62" s="82"/>
      <c r="J62" s="45"/>
      <c r="K62" s="45"/>
      <c r="L62" s="45"/>
      <c r="M62" s="46" t="s">
        <v>32</v>
      </c>
      <c r="N62" s="36">
        <v>4000000</v>
      </c>
      <c r="O62" s="36"/>
      <c r="P62" s="36"/>
      <c r="Q62" s="49" t="s">
        <v>36</v>
      </c>
      <c r="R62" s="11"/>
      <c r="S62" s="12"/>
      <c r="T62" s="11"/>
      <c r="U62" s="65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3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45"/>
      <c r="K63" s="45"/>
      <c r="L63" s="45"/>
      <c r="M63" s="46" t="s">
        <v>33</v>
      </c>
      <c r="N63" s="32">
        <v>0.42</v>
      </c>
      <c r="O63" s="31"/>
      <c r="P63" s="31"/>
      <c r="Q63" s="49"/>
      <c r="R63" s="11"/>
      <c r="S63" s="11"/>
      <c r="T63" s="11"/>
      <c r="U63" s="84"/>
      <c r="V63" s="11"/>
      <c r="W63" s="12"/>
      <c r="X63" s="11"/>
      <c r="Y63" s="11"/>
      <c r="Z63" s="11"/>
      <c r="AA63" s="11"/>
      <c r="AB63" s="11"/>
      <c r="AC63" s="11"/>
      <c r="AD63" s="11"/>
    </row>
    <row r="64" spans="1:30" ht="34" x14ac:dyDescent="0.2">
      <c r="A64" s="11"/>
      <c r="B64" s="11"/>
      <c r="C64" s="11"/>
      <c r="D64" s="11"/>
      <c r="E64" s="11"/>
      <c r="F64" s="11"/>
      <c r="G64" s="82"/>
      <c r="H64" s="82"/>
      <c r="I64" s="82"/>
      <c r="J64" s="45"/>
      <c r="K64" s="45"/>
      <c r="L64" s="45"/>
      <c r="M64" s="47" t="s">
        <v>30</v>
      </c>
      <c r="N64" s="32">
        <v>0.08</v>
      </c>
      <c r="O64" s="31"/>
      <c r="P64" s="31"/>
      <c r="Q64" s="49"/>
      <c r="R64" s="11"/>
      <c r="S64" s="11"/>
      <c r="T64" s="11"/>
      <c r="U64" s="11"/>
      <c r="V64" s="64"/>
      <c r="W64" s="11"/>
      <c r="X64" s="11"/>
      <c r="Y64" s="11"/>
      <c r="Z64" s="11"/>
      <c r="AA64" s="11"/>
      <c r="AB64" s="11"/>
      <c r="AC64" s="11"/>
      <c r="AD64" s="11"/>
    </row>
    <row r="65" spans="1:30" ht="5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45"/>
      <c r="K65" s="45"/>
      <c r="L65" s="45"/>
      <c r="M65" s="47" t="s">
        <v>147</v>
      </c>
      <c r="N65" s="37">
        <v>0.12</v>
      </c>
      <c r="O65" s="31"/>
      <c r="P65" s="31"/>
      <c r="Q65" s="7"/>
      <c r="R65" s="11"/>
      <c r="S65" s="11"/>
      <c r="T65" s="11"/>
      <c r="U65" s="82"/>
      <c r="V65" s="64"/>
      <c r="W65" s="11"/>
      <c r="X65" s="11"/>
      <c r="Y65" s="11"/>
      <c r="Z65" s="11"/>
      <c r="AA65" s="11"/>
      <c r="AB65" s="11"/>
      <c r="AC65" s="11"/>
      <c r="AD65" s="11"/>
    </row>
    <row r="66" spans="1:30" x14ac:dyDescent="0.2">
      <c r="A66" s="11"/>
      <c r="B66" s="11"/>
      <c r="C66" s="11"/>
      <c r="D66" s="11"/>
      <c r="E66" s="11"/>
      <c r="F66" s="11"/>
      <c r="G66" s="82"/>
      <c r="H66" s="82"/>
      <c r="I66" s="82"/>
      <c r="J66" s="45" t="s">
        <v>35</v>
      </c>
      <c r="K66" s="45"/>
      <c r="L66" s="45"/>
      <c r="M66" s="46" t="s">
        <v>94</v>
      </c>
      <c r="N66" s="31">
        <f>N62*N63*N64*N65</f>
        <v>16128</v>
      </c>
      <c r="O66" s="31"/>
      <c r="P66" s="31"/>
      <c r="Q66" s="11"/>
      <c r="R66" s="11"/>
      <c r="S66" s="11"/>
      <c r="T66" s="11"/>
      <c r="U66" s="82"/>
      <c r="V66" s="64"/>
      <c r="W66" s="11"/>
      <c r="X66" s="11"/>
      <c r="Y66" s="11"/>
      <c r="Z66" s="11"/>
      <c r="AA66" s="11"/>
      <c r="AB66" s="11"/>
      <c r="AC66" s="11"/>
      <c r="AD66" s="11"/>
    </row>
    <row r="67" spans="1:30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46" t="s">
        <v>94</v>
      </c>
      <c r="N67" s="31">
        <f>ROUNDDOWN((N55+N61+N66)*E24,0)</f>
        <v>26245</v>
      </c>
      <c r="O67" s="31"/>
      <c r="P67" s="31"/>
      <c r="Q67" s="11"/>
      <c r="R67" s="11"/>
      <c r="S67" s="11"/>
      <c r="T67" s="11"/>
      <c r="U67" s="85"/>
      <c r="V67" s="64"/>
      <c r="W67" s="11"/>
      <c r="X67" s="11"/>
      <c r="Y67" s="11"/>
      <c r="Z67" s="11"/>
      <c r="AA67" s="11"/>
      <c r="AB67" s="11"/>
      <c r="AC67" s="11"/>
      <c r="AD67" s="11"/>
    </row>
    <row r="68" spans="1:30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2"/>
      <c r="U68" s="11"/>
      <c r="V68" s="65"/>
      <c r="W68" s="11"/>
      <c r="X68" s="11"/>
      <c r="Y68" s="11"/>
      <c r="Z68" s="11"/>
      <c r="AA68" s="11"/>
      <c r="AB68" s="11"/>
      <c r="AC68" s="11"/>
      <c r="AD68" s="11"/>
    </row>
    <row r="69" spans="1:30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84"/>
      <c r="W69" s="11"/>
      <c r="X69" s="11"/>
      <c r="Y69" s="11"/>
      <c r="Z69" s="11"/>
      <c r="AA69" s="11"/>
      <c r="AB69" s="11"/>
      <c r="AC69" s="11"/>
      <c r="AD69" s="11"/>
    </row>
    <row r="70" spans="1:30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</sheetData>
  <mergeCells count="67">
    <mergeCell ref="A1:G2"/>
    <mergeCell ref="J12:M15"/>
    <mergeCell ref="N67:P67"/>
    <mergeCell ref="N48:P48"/>
    <mergeCell ref="N49:P49"/>
    <mergeCell ref="N51:P51"/>
    <mergeCell ref="N52:P52"/>
    <mergeCell ref="N53:P53"/>
    <mergeCell ref="N55:P55"/>
    <mergeCell ref="N50:P50"/>
    <mergeCell ref="N54:P54"/>
    <mergeCell ref="N66:P66"/>
    <mergeCell ref="N61:P61"/>
    <mergeCell ref="N56:P56"/>
    <mergeCell ref="N57:P57"/>
    <mergeCell ref="N58:P58"/>
    <mergeCell ref="N59:P59"/>
    <mergeCell ref="N60:P60"/>
    <mergeCell ref="J66:L66"/>
    <mergeCell ref="J19:L19"/>
    <mergeCell ref="J20:L20"/>
    <mergeCell ref="Q49:Q53"/>
    <mergeCell ref="Q56:Q59"/>
    <mergeCell ref="Q62:Q64"/>
    <mergeCell ref="J61:L65"/>
    <mergeCell ref="N62:P62"/>
    <mergeCell ref="N63:P63"/>
    <mergeCell ref="N64:P64"/>
    <mergeCell ref="N65:P65"/>
    <mergeCell ref="J44:P46"/>
    <mergeCell ref="N47:P47"/>
    <mergeCell ref="J47:L54"/>
    <mergeCell ref="N27:P28"/>
    <mergeCell ref="J55:L60"/>
    <mergeCell ref="B5:G6"/>
    <mergeCell ref="B15:G16"/>
    <mergeCell ref="B17:D17"/>
    <mergeCell ref="E17:G17"/>
    <mergeCell ref="B7:D7"/>
    <mergeCell ref="B8:D8"/>
    <mergeCell ref="B9:D9"/>
    <mergeCell ref="E7:G7"/>
    <mergeCell ref="E8:G8"/>
    <mergeCell ref="E9:G9"/>
    <mergeCell ref="J16:L16"/>
    <mergeCell ref="J17:L17"/>
    <mergeCell ref="J18:L18"/>
    <mergeCell ref="B22:D22"/>
    <mergeCell ref="B21:D21"/>
    <mergeCell ref="E21:G21"/>
    <mergeCell ref="E22:G22"/>
    <mergeCell ref="B18:D18"/>
    <mergeCell ref="E18:G18"/>
    <mergeCell ref="E19:G19"/>
    <mergeCell ref="E20:G20"/>
    <mergeCell ref="B19:D19"/>
    <mergeCell ref="B20:D20"/>
    <mergeCell ref="B23:D23"/>
    <mergeCell ref="E23:G23"/>
    <mergeCell ref="J32:K32"/>
    <mergeCell ref="D27:E28"/>
    <mergeCell ref="J27:L28"/>
    <mergeCell ref="J29:K29"/>
    <mergeCell ref="J30:K30"/>
    <mergeCell ref="J31:K31"/>
    <mergeCell ref="E24:G24"/>
    <mergeCell ref="B24:D2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567A-8EC9-0F48-9291-8169003DEDF1}">
  <dimension ref="A1:R64"/>
  <sheetViews>
    <sheetView zoomScale="69" workbookViewId="0">
      <selection activeCell="F26" sqref="F26"/>
    </sheetView>
  </sheetViews>
  <sheetFormatPr baseColWidth="10" defaultRowHeight="16" x14ac:dyDescent="0.2"/>
  <cols>
    <col min="1" max="1" width="13" customWidth="1"/>
    <col min="2" max="2" width="16" customWidth="1"/>
    <col min="3" max="3" width="14.33203125" customWidth="1"/>
    <col min="4" max="4" width="15.1640625" customWidth="1"/>
    <col min="5" max="5" width="16.6640625" customWidth="1"/>
    <col min="6" max="6" width="18.33203125" customWidth="1"/>
    <col min="7" max="7" width="15.33203125" customWidth="1"/>
    <col min="8" max="8" width="18.5" customWidth="1"/>
    <col min="13" max="13" width="11.83203125" bestFit="1" customWidth="1"/>
  </cols>
  <sheetData>
    <row r="1" spans="1:17" x14ac:dyDescent="0.2">
      <c r="A1" s="15" t="s">
        <v>150</v>
      </c>
      <c r="B1" s="16"/>
      <c r="C1" s="16"/>
      <c r="D1" s="16"/>
      <c r="E1" s="16"/>
      <c r="F1" s="16"/>
      <c r="G1" s="17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2">
      <c r="A2" s="18"/>
      <c r="B2" s="19"/>
      <c r="C2" s="19"/>
      <c r="D2" s="19"/>
      <c r="E2" s="19"/>
      <c r="F2" s="19"/>
      <c r="G2" s="20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35" customHeight="1" x14ac:dyDescent="0.2">
      <c r="A6" s="59" t="s">
        <v>70</v>
      </c>
      <c r="B6" s="70" t="s">
        <v>88</v>
      </c>
      <c r="C6" s="70" t="s">
        <v>84</v>
      </c>
      <c r="D6" s="70" t="s">
        <v>85</v>
      </c>
      <c r="E6" s="70" t="s">
        <v>83</v>
      </c>
      <c r="F6" s="70" t="s">
        <v>86</v>
      </c>
      <c r="G6" s="70" t="s">
        <v>87</v>
      </c>
      <c r="H6" s="71" t="s">
        <v>96</v>
      </c>
      <c r="I6" s="72" t="s">
        <v>97</v>
      </c>
      <c r="J6" s="59" t="s">
        <v>98</v>
      </c>
      <c r="K6" s="59" t="s">
        <v>99</v>
      </c>
      <c r="L6" s="59" t="s">
        <v>101</v>
      </c>
      <c r="M6" s="59" t="s">
        <v>100</v>
      </c>
      <c r="N6" s="11"/>
      <c r="O6" s="11"/>
      <c r="P6" s="11"/>
      <c r="Q6" s="11"/>
    </row>
    <row r="7" spans="1:17" x14ac:dyDescent="0.2">
      <c r="A7" s="46" t="s">
        <v>71</v>
      </c>
      <c r="B7" s="61">
        <f t="shared" ref="B7:B18" si="0">SUM(C7:G7)</f>
        <v>1525</v>
      </c>
      <c r="C7" s="42">
        <v>380</v>
      </c>
      <c r="D7" s="42">
        <v>480</v>
      </c>
      <c r="E7" s="42">
        <v>520</v>
      </c>
      <c r="F7" s="42">
        <v>25</v>
      </c>
      <c r="G7" s="42">
        <v>120</v>
      </c>
      <c r="H7" s="73">
        <f>(C7*(Segments!$E$8*3+Segments!$D$8)+D7*(Segments!$E$7*3+Segments!$D$7) + E7*(Segments!$D$6+Segments!$E$6*3)+F7*(Segments!$D$10+Segments!$E$10*3) + G7*(Segments!$D$9+Segments!$E$9*3))/1000</f>
        <v>91797</v>
      </c>
      <c r="I7" s="43">
        <f>H7</f>
        <v>91797</v>
      </c>
      <c r="J7" s="41">
        <v>0</v>
      </c>
      <c r="K7" s="61">
        <f>(J7+I7/2)*0.08/4</f>
        <v>917.97</v>
      </c>
      <c r="L7" s="41">
        <f>(J7+I7/2)*0.01/4</f>
        <v>114.74625</v>
      </c>
      <c r="M7" s="43">
        <f>I7+J7+K7-L7</f>
        <v>92600.223750000005</v>
      </c>
      <c r="N7" s="11"/>
      <c r="O7" s="11"/>
      <c r="P7" s="11"/>
      <c r="Q7" s="11"/>
    </row>
    <row r="8" spans="1:17" x14ac:dyDescent="0.2">
      <c r="A8" s="46" t="s">
        <v>72</v>
      </c>
      <c r="B8" s="61">
        <f t="shared" si="0"/>
        <v>3367</v>
      </c>
      <c r="C8" s="42">
        <f>460+C7</f>
        <v>840</v>
      </c>
      <c r="D8" s="42">
        <f>590+D7</f>
        <v>1070</v>
      </c>
      <c r="E8" s="42">
        <f>610+E7</f>
        <v>1130</v>
      </c>
      <c r="F8" s="42">
        <f>32+F7</f>
        <v>57</v>
      </c>
      <c r="G8" s="42">
        <f>150+G7</f>
        <v>270</v>
      </c>
      <c r="H8" s="74">
        <f>((C8*Segments!$E$8*3+D8*Segments!$E$7*3+E8*3*Segments!$E$6+F8*Segments!$E$10*3+G8*3*Segments!$E$9) + (C8-C7)*Segments!$D$8 + (D8-D7)*Segments!$D$7 + (E8-E7)*Segments!$D$6 + (F8-F7)*Segments!$D$10 + (G8-G7)*Segments!$D$9)/1000 + H7</f>
        <v>255515</v>
      </c>
      <c r="I8" s="63">
        <f>H8-H7</f>
        <v>163718</v>
      </c>
      <c r="J8" s="43">
        <f>M7</f>
        <v>92600.223750000005</v>
      </c>
      <c r="K8" s="41">
        <f t="shared" ref="K8:K18" si="1">(J8+I8/2)*0.08/4</f>
        <v>3489.184475</v>
      </c>
      <c r="L8" s="41">
        <f t="shared" ref="L8:L18" si="2">(J8+I8/2)*0.01/4</f>
        <v>436.148059375</v>
      </c>
      <c r="M8" s="43">
        <f>I8+J8+K8-L8</f>
        <v>259371.26016562499</v>
      </c>
      <c r="N8" s="11"/>
      <c r="O8" s="11"/>
      <c r="P8" s="11"/>
      <c r="Q8" s="11"/>
    </row>
    <row r="9" spans="1:17" x14ac:dyDescent="0.2">
      <c r="A9" s="46" t="s">
        <v>73</v>
      </c>
      <c r="B9" s="61">
        <f t="shared" si="0"/>
        <v>5375</v>
      </c>
      <c r="C9" s="42">
        <f>350+C8</f>
        <v>1190</v>
      </c>
      <c r="D9" s="42">
        <f>710+D8</f>
        <v>1780</v>
      </c>
      <c r="E9" s="42">
        <f>720+E8</f>
        <v>1850</v>
      </c>
      <c r="F9" s="42">
        <f>38+F8</f>
        <v>95</v>
      </c>
      <c r="G9" s="42">
        <f>190+G8</f>
        <v>460</v>
      </c>
      <c r="H9" s="74">
        <f>((C9*Segments!$E$8*3+D9*Segments!$E$7*3+E9*3*Segments!$E$6+F9*Segments!$E$10*3+G9*3*Segments!$E$9) + (C9-C8)*Segments!$D$8 + (D9-D8)*Segments!$D$7 + (E9-E8)*Segments!$D$6 + (F9-F8)*Segments!$D$10 + (G9-G8)*Segments!$D$9)/1000 +H8</f>
        <v>499166</v>
      </c>
      <c r="I9" s="63">
        <f t="shared" ref="I9:I18" si="3">H9-H8</f>
        <v>243651</v>
      </c>
      <c r="J9" s="43">
        <f>M8</f>
        <v>259371.26016562499</v>
      </c>
      <c r="K9" s="61">
        <f t="shared" si="1"/>
        <v>7623.9352033125006</v>
      </c>
      <c r="L9" s="41">
        <f t="shared" si="2"/>
        <v>952.99190041406257</v>
      </c>
      <c r="M9" s="43">
        <f>I9+J9+K9-L9</f>
        <v>509693.20346852345</v>
      </c>
      <c r="N9" s="11"/>
      <c r="O9" s="11"/>
      <c r="P9" s="11"/>
      <c r="Q9" s="11"/>
    </row>
    <row r="10" spans="1:17" x14ac:dyDescent="0.2">
      <c r="A10" s="46" t="s">
        <v>74</v>
      </c>
      <c r="B10" s="61">
        <f t="shared" si="0"/>
        <v>7810</v>
      </c>
      <c r="C10" s="42">
        <f>530+C9</f>
        <v>1720</v>
      </c>
      <c r="D10" s="42">
        <f>820+D9</f>
        <v>2600</v>
      </c>
      <c r="E10" s="42">
        <f>810+E9</f>
        <v>2660</v>
      </c>
      <c r="F10" s="42">
        <f>45+F9</f>
        <v>140</v>
      </c>
      <c r="G10" s="42">
        <f>230+G9</f>
        <v>690</v>
      </c>
      <c r="H10" s="74">
        <f>((C10*Segments!$E$8*3+D10*Segments!$E$7*3+E10*3*Segments!$E$6+F10*Segments!$E$10*3+G10*3*Segments!$E$9) + (C10-C9)*Segments!$D$8 + (D10-D9)*Segments!$D$7 + (E10-E9)*Segments!$D$6 + (F10-F9)*Segments!$D$10 + (G10-G9)*Segments!$D$9)/1000 +H9</f>
        <v>844257</v>
      </c>
      <c r="I10" s="63">
        <f t="shared" si="3"/>
        <v>345091</v>
      </c>
      <c r="J10" s="43">
        <f>M9</f>
        <v>509693.20346852345</v>
      </c>
      <c r="K10" s="61">
        <f t="shared" si="1"/>
        <v>13644.774069370469</v>
      </c>
      <c r="L10" s="41">
        <f t="shared" si="2"/>
        <v>1705.5967586713086</v>
      </c>
      <c r="M10" s="43">
        <f>I10+J10+K10-L10</f>
        <v>866723.38077922259</v>
      </c>
      <c r="N10" s="11"/>
      <c r="O10" s="11"/>
      <c r="P10" s="11"/>
      <c r="Q10" s="11"/>
    </row>
    <row r="11" spans="1:17" x14ac:dyDescent="0.2">
      <c r="A11" s="46" t="s">
        <v>75</v>
      </c>
      <c r="B11" s="61">
        <f t="shared" si="0"/>
        <v>10712</v>
      </c>
      <c r="C11" s="42">
        <f>700+C10</f>
        <v>2420</v>
      </c>
      <c r="D11" s="42">
        <f>910+D10</f>
        <v>3510</v>
      </c>
      <c r="E11" s="42">
        <f>880+E10</f>
        <v>3540</v>
      </c>
      <c r="F11" s="42">
        <f>52+F10</f>
        <v>192</v>
      </c>
      <c r="G11" s="42">
        <f>360+G10</f>
        <v>1050</v>
      </c>
      <c r="H11" s="74">
        <f>((C11*Segments!$E$8*3+D11*Segments!$E$7*3+E11*3*Segments!$E$6+F11*Segments!$E$10*3+G11*3*Segments!$E$9) + (C11-C10)*Segments!$D$8 + (D11-D10)*Segments!$D$7 + (E11-E10)*Segments!$D$6 + (F11-F10)*Segments!$D$10 + (G11-G10)*Segments!$D$9)/1000 + H10</f>
        <v>1344141</v>
      </c>
      <c r="I11" s="63">
        <f t="shared" si="3"/>
        <v>499884</v>
      </c>
      <c r="J11" s="43">
        <f t="shared" ref="J11:J18" si="4">M10</f>
        <v>866723.38077922259</v>
      </c>
      <c r="K11" s="61">
        <f t="shared" si="1"/>
        <v>22333.307615584454</v>
      </c>
      <c r="L11" s="41">
        <f t="shared" si="2"/>
        <v>2791.6634519480567</v>
      </c>
      <c r="M11" s="43">
        <f t="shared" ref="M11:M18" si="5">I11+J11+K11-L11</f>
        <v>1386149.0249428591</v>
      </c>
      <c r="N11" s="11"/>
      <c r="O11" s="11"/>
      <c r="P11" s="11"/>
      <c r="Q11" s="11"/>
    </row>
    <row r="12" spans="1:17" x14ac:dyDescent="0.2">
      <c r="A12" s="46" t="s">
        <v>76</v>
      </c>
      <c r="B12" s="61">
        <f t="shared" si="0"/>
        <v>13565</v>
      </c>
      <c r="C12" s="42">
        <f>740+C11</f>
        <v>3160</v>
      </c>
      <c r="D12" s="42">
        <f>755+D11</f>
        <v>4265</v>
      </c>
      <c r="E12" s="42">
        <f>920+E11</f>
        <v>4460</v>
      </c>
      <c r="F12" s="42">
        <f>58+F11</f>
        <v>250</v>
      </c>
      <c r="G12" s="42">
        <f>380+G11</f>
        <v>1430</v>
      </c>
      <c r="H12" s="74">
        <f>((C12*Segments!$E$8*3+D12*Segments!$E$7*3+E12*3*Segments!$E$6+F12*Segments!$E$10*3+G12*3*Segments!$E$9) + (C12-C11)*Segments!$D$8 + (D12-D11)*Segments!$D$7 + (E12-E11)*Segments!$D$6 + (F12-F11)*Segments!$D$10 + (G12-G11)*Segments!$D$9)/1000 +H11</f>
        <v>1971563</v>
      </c>
      <c r="I12" s="63">
        <f t="shared" si="3"/>
        <v>627422</v>
      </c>
      <c r="J12" s="43">
        <f t="shared" si="4"/>
        <v>1386149.0249428591</v>
      </c>
      <c r="K12" s="61">
        <f t="shared" si="1"/>
        <v>33997.200498857179</v>
      </c>
      <c r="L12" s="41">
        <f t="shared" si="2"/>
        <v>4249.6500623571474</v>
      </c>
      <c r="M12" s="43">
        <f t="shared" si="5"/>
        <v>2043318.5753793591</v>
      </c>
      <c r="N12" s="11"/>
      <c r="O12" s="11"/>
      <c r="P12" s="11"/>
      <c r="Q12" s="11"/>
    </row>
    <row r="13" spans="1:17" x14ac:dyDescent="0.2">
      <c r="A13" s="46" t="s">
        <v>77</v>
      </c>
      <c r="B13" s="61">
        <f t="shared" si="0"/>
        <v>16158</v>
      </c>
      <c r="C13" s="42">
        <f>710+C12</f>
        <v>3870</v>
      </c>
      <c r="D13" s="42">
        <f>820+D12</f>
        <v>5085</v>
      </c>
      <c r="E13" s="42">
        <f>738+E12</f>
        <v>5198</v>
      </c>
      <c r="F13" s="42">
        <f>55+F12</f>
        <v>305</v>
      </c>
      <c r="G13" s="42">
        <f>270+G12</f>
        <v>1700</v>
      </c>
      <c r="H13" s="75">
        <f>285509300/1000 +H12</f>
        <v>2257072.2999999998</v>
      </c>
      <c r="I13" s="63">
        <f t="shared" si="3"/>
        <v>285509.29999999981</v>
      </c>
      <c r="J13" s="43">
        <f t="shared" si="4"/>
        <v>2043318.5753793591</v>
      </c>
      <c r="K13" s="61">
        <f t="shared" si="1"/>
        <v>43721.464507587181</v>
      </c>
      <c r="L13" s="41">
        <f t="shared" si="2"/>
        <v>5465.1830634483977</v>
      </c>
      <c r="M13" s="43">
        <f t="shared" si="5"/>
        <v>2367084.1568234977</v>
      </c>
      <c r="N13" s="11"/>
      <c r="O13" s="11"/>
      <c r="P13" s="11"/>
      <c r="Q13" s="11"/>
    </row>
    <row r="14" spans="1:17" x14ac:dyDescent="0.2">
      <c r="A14" s="46" t="s">
        <v>78</v>
      </c>
      <c r="B14" s="61">
        <f t="shared" si="0"/>
        <v>18802</v>
      </c>
      <c r="C14" s="42">
        <f>670+C13</f>
        <v>4540</v>
      </c>
      <c r="D14" s="42">
        <f>870+D13</f>
        <v>5955</v>
      </c>
      <c r="E14" s="42">
        <f>802+E13</f>
        <v>6000</v>
      </c>
      <c r="F14" s="42">
        <f>52+F13</f>
        <v>357</v>
      </c>
      <c r="G14" s="42">
        <f>250+G13</f>
        <v>1950</v>
      </c>
      <c r="H14" s="74">
        <f>((C14*Segments!$E$8*3+D14*Segments!$E$7*3+E14*3*Segments!$E$6+F14*Segments!$E$10*3+G14*3*Segments!$E$9) + (C14-C13)*Segments!$D$8 + (D14-D13)*Segments!$D$7 + (E14-E13)*Segments!$D$6 + (F14-F13)*Segments!$D$10 + (G14-G13)*Segments!$D$9)/1000+H13</f>
        <v>3053508.3</v>
      </c>
      <c r="I14" s="63">
        <f t="shared" si="3"/>
        <v>796436</v>
      </c>
      <c r="J14" s="43">
        <f t="shared" si="4"/>
        <v>2367084.1568234977</v>
      </c>
      <c r="K14" s="61">
        <f t="shared" si="1"/>
        <v>55306.043136469954</v>
      </c>
      <c r="L14" s="41">
        <f t="shared" si="2"/>
        <v>6913.2553920587443</v>
      </c>
      <c r="M14" s="43">
        <f t="shared" si="5"/>
        <v>3211912.944567909</v>
      </c>
      <c r="N14" s="11"/>
      <c r="O14" s="11"/>
      <c r="P14" s="11"/>
      <c r="Q14" s="11"/>
    </row>
    <row r="15" spans="1:17" x14ac:dyDescent="0.2">
      <c r="A15" s="46" t="s">
        <v>79</v>
      </c>
      <c r="B15" s="61">
        <f t="shared" si="0"/>
        <v>21120</v>
      </c>
      <c r="C15" s="42">
        <f>590+C14</f>
        <v>5130</v>
      </c>
      <c r="D15" s="42">
        <f>780+D14</f>
        <v>6735</v>
      </c>
      <c r="E15" s="42">
        <f>680+E14</f>
        <v>6680</v>
      </c>
      <c r="F15" s="42">
        <f>48+F14</f>
        <v>405</v>
      </c>
      <c r="G15" s="42">
        <f>220+G14</f>
        <v>2170</v>
      </c>
      <c r="H15" s="74">
        <f>((C15*Segments!$E$8*3+D15*Segments!$E$7*3+E15*3*Segments!$E$6+F15*Segments!$E$10*3+G15*3*Segments!$E$9) + (C15-C14)*Segments!$D$8 + (D15-D14)*Segments!$D$7 + (E15-E14)*Segments!$D$6 + (F15-F14)*Segments!$D$10 + (G15-G14)*Segments!$D$9)/1000 +H14</f>
        <v>3925777.3</v>
      </c>
      <c r="I15" s="63">
        <f t="shared" si="3"/>
        <v>872269</v>
      </c>
      <c r="J15" s="43">
        <f t="shared" si="4"/>
        <v>3211912.944567909</v>
      </c>
      <c r="K15" s="61">
        <f t="shared" si="1"/>
        <v>72960.948891358188</v>
      </c>
      <c r="L15" s="41">
        <f t="shared" si="2"/>
        <v>9120.1186114197735</v>
      </c>
      <c r="M15" s="43">
        <f t="shared" si="5"/>
        <v>4148022.7748478474</v>
      </c>
      <c r="N15" s="11"/>
      <c r="O15" s="11"/>
      <c r="P15" s="11"/>
      <c r="Q15" s="11"/>
    </row>
    <row r="16" spans="1:17" x14ac:dyDescent="0.2">
      <c r="A16" s="46" t="s">
        <v>80</v>
      </c>
      <c r="B16" s="61">
        <f t="shared" si="0"/>
        <v>23142</v>
      </c>
      <c r="C16" s="42">
        <f>520+C15</f>
        <v>5650</v>
      </c>
      <c r="D16" s="42">
        <f>690+D15</f>
        <v>7425</v>
      </c>
      <c r="E16" s="42">
        <f>580+E15</f>
        <v>7260</v>
      </c>
      <c r="F16" s="42">
        <f>42+F15</f>
        <v>447</v>
      </c>
      <c r="G16" s="42">
        <f>190+G15</f>
        <v>2360</v>
      </c>
      <c r="H16" s="74">
        <f>((C16*Segments!$E$8*3+D16*Segments!$E$7*3+E16*3*Segments!$E$6+F16*Segments!$E$10*3+G16*3*Segments!$E$9) + (C16-C15)*Segments!$D$8 + (D16-D15)*Segments!$D$7 + (E16-E15)*Segments!$D$6 + (F16-F15)*Segments!$D$10 + (G16-G15)*Segments!$D$9)/1000 +H15</f>
        <v>4863148.3</v>
      </c>
      <c r="I16" s="63">
        <f t="shared" si="3"/>
        <v>937371</v>
      </c>
      <c r="J16" s="43">
        <f t="shared" si="4"/>
        <v>4148022.7748478474</v>
      </c>
      <c r="K16" s="61">
        <f t="shared" si="1"/>
        <v>92334.16549695695</v>
      </c>
      <c r="L16" s="41">
        <f t="shared" si="2"/>
        <v>11541.770687119619</v>
      </c>
      <c r="M16" s="43">
        <f t="shared" si="5"/>
        <v>5166186.1696576839</v>
      </c>
      <c r="N16" s="11"/>
      <c r="O16" s="11"/>
      <c r="P16" s="11"/>
      <c r="Q16" s="11"/>
    </row>
    <row r="17" spans="1:18" x14ac:dyDescent="0.2">
      <c r="A17" s="46" t="s">
        <v>81</v>
      </c>
      <c r="B17" s="61">
        <f t="shared" si="0"/>
        <v>24657</v>
      </c>
      <c r="C17" s="42">
        <f>250+C16</f>
        <v>5900</v>
      </c>
      <c r="D17" s="42">
        <f>590+D16</f>
        <v>8015</v>
      </c>
      <c r="E17" s="42">
        <f>480+E16</f>
        <v>7740</v>
      </c>
      <c r="F17" s="42">
        <f>35+F16</f>
        <v>482</v>
      </c>
      <c r="G17" s="42">
        <f>160+G16</f>
        <v>2520</v>
      </c>
      <c r="H17" s="74">
        <f>((C17*Segments!$E$8*3+D17*Segments!$E$7*3+E17*3*Segments!$E$6+F17*Segments!$E$10*3+G17*3*Segments!$E$9) + (C17-C16)*Segments!$D$8 + (D17-D16)*Segments!$D$7 + (E17-E16)*Segments!$D$6 + (F17-F16)*Segments!$D$10 + (G17-G16)*Segments!$D$9)/1000 +H16</f>
        <v>5845228.2999999998</v>
      </c>
      <c r="I17" s="63">
        <f t="shared" si="3"/>
        <v>982080</v>
      </c>
      <c r="J17" s="43">
        <f t="shared" si="4"/>
        <v>5166186.1696576839</v>
      </c>
      <c r="K17" s="61">
        <f t="shared" si="1"/>
        <v>113144.52339315368</v>
      </c>
      <c r="L17" s="41">
        <f t="shared" si="2"/>
        <v>14143.06542414421</v>
      </c>
      <c r="M17" s="43">
        <f t="shared" si="5"/>
        <v>6247267.6276266929</v>
      </c>
      <c r="N17" s="11"/>
      <c r="O17" s="11"/>
      <c r="P17" s="11"/>
      <c r="Q17" s="11"/>
    </row>
    <row r="18" spans="1:18" x14ac:dyDescent="0.2">
      <c r="A18" s="46" t="s">
        <v>82</v>
      </c>
      <c r="B18" s="61">
        <f t="shared" si="0"/>
        <v>26245</v>
      </c>
      <c r="C18" s="42">
        <f>444+C17</f>
        <v>6344</v>
      </c>
      <c r="D18" s="42">
        <f>532+D17</f>
        <v>8547</v>
      </c>
      <c r="E18" s="42">
        <f>392+E17</f>
        <v>8132</v>
      </c>
      <c r="F18" s="42">
        <f>55+F17</f>
        <v>537</v>
      </c>
      <c r="G18" s="42">
        <f>165+G17</f>
        <v>2685</v>
      </c>
      <c r="H18" s="63">
        <f>((C18*Segments!$E$8*3+D18*Segments!$E$7*3+E18*3*Segments!$E$6+F18*Segments!$E$10*3+G18*3*Segments!$E$9) + (C18-C17)*Segments!$D$8 + (D18-D17)*Segments!$D$7 + (E18-E17)*Segments!$D$6 + (F18-F17)*Segments!$D$10 + (G18-G17)*Segments!$D$9)/1000+H17</f>
        <v>6892893.5</v>
      </c>
      <c r="I18" s="63">
        <f t="shared" si="3"/>
        <v>1047665.2000000002</v>
      </c>
      <c r="J18" s="43">
        <f t="shared" si="4"/>
        <v>6247267.6276266929</v>
      </c>
      <c r="K18" s="61">
        <f t="shared" si="1"/>
        <v>135422.00455253385</v>
      </c>
      <c r="L18" s="41">
        <f t="shared" si="2"/>
        <v>16927.750569066731</v>
      </c>
      <c r="M18" s="43">
        <f t="shared" si="5"/>
        <v>7413427.0816101599</v>
      </c>
      <c r="N18" s="11"/>
      <c r="O18" s="11"/>
      <c r="P18" s="11"/>
      <c r="Q18" s="11"/>
    </row>
    <row r="19" spans="1:18" x14ac:dyDescent="0.2">
      <c r="A19" s="11"/>
      <c r="B19" s="64"/>
      <c r="C19" s="64"/>
      <c r="D19" s="64"/>
      <c r="E19" s="64"/>
      <c r="F19" s="64"/>
      <c r="G19" s="64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8" x14ac:dyDescent="0.2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11"/>
      <c r="P21" s="11"/>
      <c r="Q21" s="11"/>
    </row>
    <row r="22" spans="1:18" x14ac:dyDescent="0.2">
      <c r="A22" s="11"/>
      <c r="B22" s="11"/>
      <c r="C22" s="11"/>
      <c r="D22" s="11"/>
      <c r="E22" s="11"/>
      <c r="F22" s="6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8" x14ac:dyDescent="0.2">
      <c r="A23" s="11"/>
      <c r="B23" s="11"/>
      <c r="C23" s="11"/>
      <c r="D23" s="11"/>
      <c r="E23" s="11"/>
      <c r="F23" s="6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8" x14ac:dyDescent="0.2">
      <c r="F24" s="3"/>
      <c r="N24" s="2"/>
      <c r="O24" s="2"/>
      <c r="P24" s="2"/>
    </row>
    <row r="25" spans="1:18" x14ac:dyDescent="0.2">
      <c r="F25" s="3"/>
    </row>
    <row r="26" spans="1:18" x14ac:dyDescent="0.2">
      <c r="F26" s="3"/>
    </row>
    <row r="27" spans="1:18" x14ac:dyDescent="0.2">
      <c r="F27" s="3"/>
    </row>
    <row r="28" spans="1:18" x14ac:dyDescent="0.2">
      <c r="F28" s="3"/>
    </row>
    <row r="29" spans="1:18" x14ac:dyDescent="0.2">
      <c r="F29" s="3"/>
      <c r="Q29" s="2"/>
    </row>
    <row r="30" spans="1:18" x14ac:dyDescent="0.2">
      <c r="F30" s="3"/>
      <c r="Q30" s="2"/>
    </row>
    <row r="31" spans="1:18" x14ac:dyDescent="0.2">
      <c r="F31" s="3"/>
      <c r="Q31" s="2"/>
      <c r="R31" s="2"/>
    </row>
    <row r="32" spans="1:18" x14ac:dyDescent="0.2">
      <c r="F32" s="3"/>
    </row>
    <row r="33" spans="2:18" x14ac:dyDescent="0.2">
      <c r="F33" s="3"/>
    </row>
    <row r="34" spans="2:18" x14ac:dyDescent="0.2">
      <c r="E34" s="2"/>
      <c r="F34" s="4"/>
    </row>
    <row r="35" spans="2:18" x14ac:dyDescent="0.2">
      <c r="F35" s="3"/>
    </row>
    <row r="36" spans="2:18" x14ac:dyDescent="0.2">
      <c r="F36" s="3"/>
      <c r="P36" s="2"/>
    </row>
    <row r="37" spans="2:18" x14ac:dyDescent="0.2">
      <c r="F37" s="3"/>
      <c r="O37" s="3"/>
    </row>
    <row r="38" spans="2:18" x14ac:dyDescent="0.2">
      <c r="E38" s="2"/>
      <c r="F38" s="2"/>
      <c r="O38" s="3"/>
    </row>
    <row r="39" spans="2:18" x14ac:dyDescent="0.2">
      <c r="L39" s="3"/>
      <c r="M39" s="1"/>
      <c r="O39" s="3"/>
    </row>
    <row r="40" spans="2:18" x14ac:dyDescent="0.2">
      <c r="L40" s="3"/>
      <c r="M40" s="1"/>
      <c r="O40" s="3"/>
    </row>
    <row r="41" spans="2:18" x14ac:dyDescent="0.2">
      <c r="D41" s="2"/>
      <c r="L41" s="3"/>
      <c r="M41" s="1"/>
      <c r="O41" s="3"/>
    </row>
    <row r="42" spans="2:18" x14ac:dyDescent="0.2">
      <c r="G42" s="4"/>
      <c r="L42" s="3"/>
      <c r="M42" s="1"/>
      <c r="O42" s="3"/>
    </row>
    <row r="43" spans="2:18" x14ac:dyDescent="0.2">
      <c r="L43" s="3"/>
      <c r="M43" s="1"/>
      <c r="O43" s="4"/>
      <c r="R43" s="2"/>
    </row>
    <row r="44" spans="2:18" x14ac:dyDescent="0.2">
      <c r="L44" s="3"/>
      <c r="M44" s="1"/>
      <c r="Q44" s="2"/>
    </row>
    <row r="45" spans="2:18" x14ac:dyDescent="0.2">
      <c r="K45" s="3"/>
      <c r="L45" s="3"/>
      <c r="M45" s="1"/>
      <c r="Q45" s="2"/>
    </row>
    <row r="46" spans="2:18" x14ac:dyDescent="0.2">
      <c r="B46" s="2"/>
      <c r="C46" s="2"/>
      <c r="G46" s="2"/>
      <c r="K46" s="3"/>
      <c r="L46" s="3"/>
      <c r="M46" s="1"/>
      <c r="Q46" s="2"/>
    </row>
    <row r="47" spans="2:18" x14ac:dyDescent="0.2">
      <c r="C47" s="3"/>
      <c r="K47" s="3"/>
      <c r="L47" s="3"/>
      <c r="M47" s="1"/>
      <c r="Q47" s="2"/>
    </row>
    <row r="48" spans="2:18" x14ac:dyDescent="0.2">
      <c r="C48" s="3"/>
      <c r="K48" s="2"/>
      <c r="L48" s="2"/>
      <c r="M48" s="1"/>
      <c r="Q48" s="2"/>
    </row>
    <row r="49" spans="2:17" x14ac:dyDescent="0.2">
      <c r="C49" s="3"/>
      <c r="M49" s="1"/>
      <c r="N49" s="3"/>
      <c r="Q49" s="2"/>
    </row>
    <row r="50" spans="2:17" x14ac:dyDescent="0.2">
      <c r="C50" s="3"/>
      <c r="M50" s="1"/>
      <c r="N50" s="3"/>
      <c r="Q50" s="2"/>
    </row>
    <row r="51" spans="2:17" x14ac:dyDescent="0.2">
      <c r="C51" s="3"/>
      <c r="E51" s="2"/>
      <c r="F51" s="4"/>
      <c r="H51" s="2"/>
      <c r="I51" s="2"/>
      <c r="M51" s="1"/>
      <c r="N51" s="3"/>
      <c r="Q51" s="2"/>
    </row>
    <row r="52" spans="2:17" x14ac:dyDescent="0.2">
      <c r="C52" s="3"/>
      <c r="J52" s="2"/>
      <c r="O52" s="2"/>
      <c r="P52" s="2"/>
      <c r="Q52" s="2"/>
    </row>
    <row r="53" spans="2:17" x14ac:dyDescent="0.2">
      <c r="C53" s="3"/>
    </row>
    <row r="54" spans="2:17" x14ac:dyDescent="0.2">
      <c r="C54" s="3"/>
      <c r="D54" s="2"/>
      <c r="E54" s="4"/>
    </row>
    <row r="55" spans="2:17" x14ac:dyDescent="0.2">
      <c r="C55" s="3"/>
    </row>
    <row r="56" spans="2:17" x14ac:dyDescent="0.2">
      <c r="C56" s="3"/>
    </row>
    <row r="57" spans="2:17" x14ac:dyDescent="0.2">
      <c r="C57" s="3"/>
    </row>
    <row r="58" spans="2:17" x14ac:dyDescent="0.2">
      <c r="C58" s="3"/>
    </row>
    <row r="59" spans="2:17" x14ac:dyDescent="0.2">
      <c r="B59" s="2"/>
      <c r="C59" s="4"/>
      <c r="D59" s="4"/>
      <c r="E59" s="4"/>
      <c r="F59" s="4"/>
      <c r="G59" s="4"/>
    </row>
    <row r="61" spans="2:17" x14ac:dyDescent="0.2">
      <c r="K61" s="2"/>
      <c r="L61" s="2"/>
    </row>
    <row r="64" spans="2:17" x14ac:dyDescent="0.2">
      <c r="H64" s="2"/>
      <c r="I64" s="4"/>
    </row>
  </sheetData>
  <mergeCells count="1">
    <mergeCell ref="A1:G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1B9C-BA7B-574A-9589-621AAB441F46}">
  <dimension ref="A1:O25"/>
  <sheetViews>
    <sheetView zoomScale="86" workbookViewId="0">
      <selection activeCell="D19" sqref="D19"/>
    </sheetView>
  </sheetViews>
  <sheetFormatPr baseColWidth="10" defaultRowHeight="16" x14ac:dyDescent="0.2"/>
  <cols>
    <col min="3" max="3" width="16.1640625" customWidth="1"/>
    <col min="4" max="4" width="17.33203125" customWidth="1"/>
    <col min="5" max="5" width="16.1640625" customWidth="1"/>
    <col min="6" max="6" width="19.83203125" customWidth="1"/>
    <col min="7" max="9" width="14.33203125" customWidth="1"/>
    <col min="10" max="10" width="13.83203125" customWidth="1"/>
  </cols>
  <sheetData>
    <row r="1" spans="1:15" x14ac:dyDescent="0.2">
      <c r="A1" s="15" t="s">
        <v>150</v>
      </c>
      <c r="B1" s="16"/>
      <c r="C1" s="16"/>
      <c r="D1" s="16"/>
      <c r="E1" s="16"/>
      <c r="F1" s="16"/>
      <c r="G1" s="17"/>
      <c r="H1" s="11"/>
      <c r="I1" s="11"/>
      <c r="J1" s="11"/>
      <c r="K1" s="11"/>
      <c r="L1" s="11"/>
      <c r="M1" s="11"/>
      <c r="N1" s="11"/>
      <c r="O1" s="11"/>
    </row>
    <row r="2" spans="1:15" x14ac:dyDescent="0.2">
      <c r="A2" s="18"/>
      <c r="B2" s="19"/>
      <c r="C2" s="19"/>
      <c r="D2" s="19"/>
      <c r="E2" s="19"/>
      <c r="F2" s="19"/>
      <c r="G2" s="20"/>
      <c r="H2" s="11"/>
      <c r="I2" s="11"/>
      <c r="J2" s="11"/>
      <c r="K2" s="11"/>
      <c r="L2" s="11"/>
      <c r="M2" s="11"/>
      <c r="N2" s="11"/>
      <c r="O2" s="11"/>
    </row>
    <row r="3" spans="1:15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35" customHeight="1" x14ac:dyDescent="0.2">
      <c r="A4" s="11"/>
      <c r="B4" s="59" t="s">
        <v>70</v>
      </c>
      <c r="C4" s="70" t="s">
        <v>106</v>
      </c>
      <c r="D4" s="70" t="s">
        <v>105</v>
      </c>
      <c r="E4" s="70" t="s">
        <v>110</v>
      </c>
      <c r="F4" s="70" t="s">
        <v>107</v>
      </c>
      <c r="G4" s="70" t="s">
        <v>108</v>
      </c>
      <c r="H4" s="70" t="s">
        <v>109</v>
      </c>
      <c r="I4" s="70" t="s">
        <v>114</v>
      </c>
      <c r="J4" s="70" t="s">
        <v>102</v>
      </c>
      <c r="K4" s="70" t="s">
        <v>103</v>
      </c>
      <c r="L4" s="59" t="s">
        <v>104</v>
      </c>
      <c r="M4" s="11"/>
      <c r="N4" s="11"/>
      <c r="O4" s="11"/>
    </row>
    <row r="5" spans="1:15" x14ac:dyDescent="0.2">
      <c r="A5" s="11"/>
      <c r="B5" s="46" t="s">
        <v>71</v>
      </c>
      <c r="C5" s="41" cm="1">
        <f t="array" ref="C5:C16">'AUM Build-up'!L7:L18</f>
        <v>114.74625</v>
      </c>
      <c r="D5" s="61">
        <f>MAX(0,('AUM Build-up'!K7-'AUM Build-up'!L7)*0.05)</f>
        <v>40.161187500000004</v>
      </c>
      <c r="E5" s="41">
        <f>C5+D5</f>
        <v>154.90743750000001</v>
      </c>
      <c r="F5" s="41">
        <f>Assumptions!$L$32/36</f>
        <v>1625.3674807779287</v>
      </c>
      <c r="G5" s="41">
        <f>Assumptions!$E$33/36</f>
        <v>472.22222222222223</v>
      </c>
      <c r="H5" s="41">
        <f t="shared" ref="H5:H16" si="0">F5+G5</f>
        <v>2097.5897030001511</v>
      </c>
      <c r="I5" s="41">
        <f>Assumptions!$O$30/360+Assumptions!$O$31/180+Assumptions!$O$32/180</f>
        <v>63.888888888888886</v>
      </c>
      <c r="J5" s="41">
        <f>E5-H5-I5</f>
        <v>-2006.57115438904</v>
      </c>
      <c r="K5" s="41">
        <f>MAX(0,J5*0.2)</f>
        <v>0</v>
      </c>
      <c r="L5" s="41">
        <f>J5-K5</f>
        <v>-2006.57115438904</v>
      </c>
      <c r="M5" s="11"/>
      <c r="N5" s="11"/>
      <c r="O5" s="11"/>
    </row>
    <row r="6" spans="1:15" x14ac:dyDescent="0.2">
      <c r="A6" s="11"/>
      <c r="B6" s="46" t="s">
        <v>72</v>
      </c>
      <c r="C6" s="41">
        <v>436.148059375</v>
      </c>
      <c r="D6" s="61">
        <f>MAX(0,('AUM Build-up'!K8-'AUM Build-up'!L8)*0.05)</f>
        <v>152.65182078125</v>
      </c>
      <c r="E6" s="41">
        <f t="shared" ref="E6:E16" si="1">C6+D6</f>
        <v>588.79988015624997</v>
      </c>
      <c r="F6" s="41">
        <f>Assumptions!$L$32/36</f>
        <v>1625.3674807779287</v>
      </c>
      <c r="G6" s="41">
        <f>Assumptions!$E$33/36</f>
        <v>472.22222222222223</v>
      </c>
      <c r="H6" s="41">
        <f t="shared" si="0"/>
        <v>2097.5897030001511</v>
      </c>
      <c r="I6" s="41">
        <f>Assumptions!$O$30/360+Assumptions!$O$31/180+Assumptions!$O$32/180</f>
        <v>63.888888888888886</v>
      </c>
      <c r="J6" s="41">
        <f t="shared" ref="J6:J16" si="2">E6-H6-I6</f>
        <v>-1572.6787117327901</v>
      </c>
      <c r="K6" s="41">
        <f t="shared" ref="K6:K16" si="3">MAX(0,J6*0.2)</f>
        <v>0</v>
      </c>
      <c r="L6" s="41">
        <f t="shared" ref="L6:L16" si="4">J6-K6</f>
        <v>-1572.6787117327901</v>
      </c>
      <c r="M6" s="11"/>
      <c r="N6" s="11"/>
      <c r="O6" s="11"/>
    </row>
    <row r="7" spans="1:15" x14ac:dyDescent="0.2">
      <c r="A7" s="11"/>
      <c r="B7" s="46" t="s">
        <v>73</v>
      </c>
      <c r="C7" s="41">
        <v>952.99190041406257</v>
      </c>
      <c r="D7" s="61">
        <f>MAX(0,('AUM Build-up'!K9-'AUM Build-up'!L9)*0.05)</f>
        <v>333.54716514492191</v>
      </c>
      <c r="E7" s="41">
        <f t="shared" si="1"/>
        <v>1286.5390655589845</v>
      </c>
      <c r="F7" s="41">
        <f>Assumptions!$L$32/36</f>
        <v>1625.3674807779287</v>
      </c>
      <c r="G7" s="41">
        <f>Assumptions!$E$33/36</f>
        <v>472.22222222222223</v>
      </c>
      <c r="H7" s="41">
        <f t="shared" si="0"/>
        <v>2097.5897030001511</v>
      </c>
      <c r="I7" s="41">
        <f>Assumptions!$O$30/360+Assumptions!$O$31/180+Assumptions!$O$32/180</f>
        <v>63.888888888888886</v>
      </c>
      <c r="J7" s="41">
        <f t="shared" si="2"/>
        <v>-874.93952633005551</v>
      </c>
      <c r="K7" s="41">
        <f t="shared" si="3"/>
        <v>0</v>
      </c>
      <c r="L7" s="41">
        <f t="shared" si="4"/>
        <v>-874.93952633005551</v>
      </c>
      <c r="M7" s="11"/>
      <c r="N7" s="11"/>
      <c r="O7" s="11"/>
    </row>
    <row r="8" spans="1:15" x14ac:dyDescent="0.2">
      <c r="A8" s="11"/>
      <c r="B8" s="46" t="s">
        <v>74</v>
      </c>
      <c r="C8" s="41">
        <v>1705.5967586713086</v>
      </c>
      <c r="D8" s="61">
        <f>MAX(0,('AUM Build-up'!K10-'AUM Build-up'!L10)*0.05)</f>
        <v>596.95886553495802</v>
      </c>
      <c r="E8" s="41">
        <f t="shared" si="1"/>
        <v>2302.5556242062667</v>
      </c>
      <c r="F8" s="41">
        <f>Assumptions!$L$32/36</f>
        <v>1625.3674807779287</v>
      </c>
      <c r="G8" s="41">
        <f>Assumptions!$E$33/36</f>
        <v>472.22222222222223</v>
      </c>
      <c r="H8" s="41">
        <f t="shared" si="0"/>
        <v>2097.5897030001511</v>
      </c>
      <c r="I8" s="41">
        <f>Assumptions!$O$30/360+Assumptions!$O$31/180+Assumptions!$O$32/180</f>
        <v>63.888888888888886</v>
      </c>
      <c r="J8" s="41">
        <f t="shared" si="2"/>
        <v>141.0770323172267</v>
      </c>
      <c r="K8" s="41">
        <f t="shared" si="3"/>
        <v>28.215406463445341</v>
      </c>
      <c r="L8" s="41">
        <f t="shared" si="4"/>
        <v>112.86162585378136</v>
      </c>
      <c r="M8" s="11"/>
      <c r="N8" s="11"/>
      <c r="O8" s="11"/>
    </row>
    <row r="9" spans="1:15" x14ac:dyDescent="0.2">
      <c r="A9" s="11"/>
      <c r="B9" s="46" t="s">
        <v>75</v>
      </c>
      <c r="C9" s="41">
        <v>2791.6634519480567</v>
      </c>
      <c r="D9" s="61">
        <f>MAX(0,('AUM Build-up'!K11-'AUM Build-up'!L11)*0.05)</f>
        <v>977.08220818181985</v>
      </c>
      <c r="E9" s="41">
        <f t="shared" si="1"/>
        <v>3768.7456601298763</v>
      </c>
      <c r="F9" s="41">
        <f>Assumptions!$L$32/36*1.06</f>
        <v>1722.8895296246044</v>
      </c>
      <c r="G9" s="41">
        <f>Assumptions!$E$33/36*1.06</f>
        <v>500.5555555555556</v>
      </c>
      <c r="H9" s="41">
        <f t="shared" si="0"/>
        <v>2223.4450851801598</v>
      </c>
      <c r="I9" s="41">
        <f>Assumptions!$O$30/360+Assumptions!$O$31/180+Assumptions!$O$32/180</f>
        <v>63.888888888888886</v>
      </c>
      <c r="J9" s="41">
        <f t="shared" si="2"/>
        <v>1481.4116860608276</v>
      </c>
      <c r="K9" s="41">
        <f t="shared" si="3"/>
        <v>296.28233721216554</v>
      </c>
      <c r="L9" s="41">
        <f t="shared" si="4"/>
        <v>1185.1293488486622</v>
      </c>
      <c r="M9" s="11"/>
      <c r="N9" s="11"/>
      <c r="O9" s="11"/>
    </row>
    <row r="10" spans="1:15" x14ac:dyDescent="0.2">
      <c r="A10" s="11"/>
      <c r="B10" s="46" t="s">
        <v>76</v>
      </c>
      <c r="C10" s="41">
        <v>4249.6500623571474</v>
      </c>
      <c r="D10" s="61">
        <f>MAX(0,('AUM Build-up'!K12-'AUM Build-up'!L12)*0.05)</f>
        <v>1487.3775218250016</v>
      </c>
      <c r="E10" s="41">
        <f t="shared" si="1"/>
        <v>5737.0275841821494</v>
      </c>
      <c r="F10" s="41">
        <f>Assumptions!$L$32/36*1.06</f>
        <v>1722.8895296246044</v>
      </c>
      <c r="G10" s="41">
        <f>Assumptions!$E$33/36*1.06</f>
        <v>500.5555555555556</v>
      </c>
      <c r="H10" s="41">
        <f t="shared" si="0"/>
        <v>2223.4450851801598</v>
      </c>
      <c r="I10" s="41">
        <f>Assumptions!$O$30/360+Assumptions!$O$31/180+Assumptions!$O$32/180</f>
        <v>63.888888888888886</v>
      </c>
      <c r="J10" s="41">
        <f t="shared" si="2"/>
        <v>3449.6936101131009</v>
      </c>
      <c r="K10" s="41">
        <f t="shared" si="3"/>
        <v>689.93872202262025</v>
      </c>
      <c r="L10" s="41">
        <f t="shared" si="4"/>
        <v>2759.7548880904806</v>
      </c>
      <c r="M10" s="11"/>
      <c r="N10" s="11"/>
      <c r="O10" s="11"/>
    </row>
    <row r="11" spans="1:15" x14ac:dyDescent="0.2">
      <c r="A11" s="11"/>
      <c r="B11" s="46" t="s">
        <v>77</v>
      </c>
      <c r="C11" s="41">
        <v>5465.1830634483977</v>
      </c>
      <c r="D11" s="61">
        <f>MAX(0,('AUM Build-up'!K13-'AUM Build-up'!L13)*0.05)</f>
        <v>1912.8140722069393</v>
      </c>
      <c r="E11" s="41">
        <f t="shared" si="1"/>
        <v>7377.9971356553369</v>
      </c>
      <c r="F11" s="41">
        <f>Assumptions!$L$32/36*1.06</f>
        <v>1722.8895296246044</v>
      </c>
      <c r="G11" s="41">
        <f>Assumptions!$E$33/36*1.06</f>
        <v>500.5555555555556</v>
      </c>
      <c r="H11" s="41">
        <f t="shared" si="0"/>
        <v>2223.4450851801598</v>
      </c>
      <c r="I11" s="41">
        <f>Assumptions!$O$30/360+Assumptions!$O$31/180+Assumptions!$O$32/180</f>
        <v>63.888888888888886</v>
      </c>
      <c r="J11" s="41">
        <f t="shared" si="2"/>
        <v>5090.663161586288</v>
      </c>
      <c r="K11" s="41">
        <f t="shared" si="3"/>
        <v>1018.1326323172576</v>
      </c>
      <c r="L11" s="41">
        <f t="shared" si="4"/>
        <v>4072.5305292690305</v>
      </c>
      <c r="M11" s="11"/>
      <c r="N11" s="11"/>
      <c r="O11" s="11"/>
    </row>
    <row r="12" spans="1:15" x14ac:dyDescent="0.2">
      <c r="A12" s="11"/>
      <c r="B12" s="46" t="s">
        <v>78</v>
      </c>
      <c r="C12" s="41">
        <v>6913.2553920587443</v>
      </c>
      <c r="D12" s="61">
        <f>MAX(0,('AUM Build-up'!K14-'AUM Build-up'!L14)*0.05)</f>
        <v>2419.6393872205604</v>
      </c>
      <c r="E12" s="41">
        <f t="shared" si="1"/>
        <v>9332.8947792793042</v>
      </c>
      <c r="F12" s="41">
        <f>Assumptions!$L$32/36*1.06</f>
        <v>1722.8895296246044</v>
      </c>
      <c r="G12" s="41">
        <f>Assumptions!$E$33/36*1.06</f>
        <v>500.5555555555556</v>
      </c>
      <c r="H12" s="41">
        <f t="shared" si="0"/>
        <v>2223.4450851801598</v>
      </c>
      <c r="I12" s="41">
        <f>Assumptions!$O$30/360+Assumptions!$O$31/180+Assumptions!$O$32/180</f>
        <v>63.888888888888886</v>
      </c>
      <c r="J12" s="41">
        <f t="shared" si="2"/>
        <v>7045.5608052102561</v>
      </c>
      <c r="K12" s="41">
        <f t="shared" si="3"/>
        <v>1409.1121610420514</v>
      </c>
      <c r="L12" s="41">
        <f t="shared" si="4"/>
        <v>5636.4486441682047</v>
      </c>
      <c r="M12" s="11"/>
      <c r="N12" s="11"/>
      <c r="O12" s="11"/>
    </row>
    <row r="13" spans="1:15" x14ac:dyDescent="0.2">
      <c r="A13" s="11"/>
      <c r="B13" s="46" t="s">
        <v>79</v>
      </c>
      <c r="C13" s="41">
        <v>9120.1186114197735</v>
      </c>
      <c r="D13" s="61">
        <f>MAX(0,('AUM Build-up'!K15-'AUM Build-up'!L15)*0.05)</f>
        <v>3192.0415139969209</v>
      </c>
      <c r="E13" s="41">
        <f t="shared" si="1"/>
        <v>12312.160125416694</v>
      </c>
      <c r="F13" s="41">
        <f>Assumptions!$L$32/36*1.06*1.06</f>
        <v>1826.2629014020808</v>
      </c>
      <c r="G13" s="41">
        <f>Assumptions!$E$33/36*1.06*1.06</f>
        <v>530.58888888888896</v>
      </c>
      <c r="H13" s="41">
        <f t="shared" si="0"/>
        <v>2356.8517902909698</v>
      </c>
      <c r="I13" s="41">
        <f>Assumptions!$O$30/360+Assumptions!$O$31/180+Assumptions!$O$32/180</f>
        <v>63.888888888888886</v>
      </c>
      <c r="J13" s="41">
        <f t="shared" si="2"/>
        <v>9891.4194462368359</v>
      </c>
      <c r="K13" s="41">
        <f t="shared" si="3"/>
        <v>1978.2838892473674</v>
      </c>
      <c r="L13" s="41">
        <f t="shared" si="4"/>
        <v>7913.1355569894686</v>
      </c>
      <c r="M13" s="11"/>
      <c r="N13" s="11"/>
      <c r="O13" s="11"/>
    </row>
    <row r="14" spans="1:15" x14ac:dyDescent="0.2">
      <c r="A14" s="11"/>
      <c r="B14" s="46" t="s">
        <v>80</v>
      </c>
      <c r="C14" s="41">
        <v>11541.770687119619</v>
      </c>
      <c r="D14" s="61">
        <f>MAX(0,('AUM Build-up'!K16-'AUM Build-up'!L16)*0.05)</f>
        <v>4039.6197404918671</v>
      </c>
      <c r="E14" s="41">
        <f t="shared" si="1"/>
        <v>15581.390427611486</v>
      </c>
      <c r="F14" s="41">
        <f>Assumptions!$L$32/36*1.06*1.06</f>
        <v>1826.2629014020808</v>
      </c>
      <c r="G14" s="41">
        <f>Assumptions!$E$33/36*1.06*1.06</f>
        <v>530.58888888888896</v>
      </c>
      <c r="H14" s="41">
        <f t="shared" si="0"/>
        <v>2356.8517902909698</v>
      </c>
      <c r="I14" s="41">
        <f>Assumptions!$O$30/360+Assumptions!$O$31/180+Assumptions!$O$32/180</f>
        <v>63.888888888888886</v>
      </c>
      <c r="J14" s="41">
        <f t="shared" si="2"/>
        <v>13160.649748431628</v>
      </c>
      <c r="K14" s="41">
        <f t="shared" si="3"/>
        <v>2632.1299496863257</v>
      </c>
      <c r="L14" s="41">
        <f t="shared" si="4"/>
        <v>10528.519798745303</v>
      </c>
      <c r="M14" s="11"/>
      <c r="N14" s="11"/>
      <c r="O14" s="11"/>
    </row>
    <row r="15" spans="1:15" x14ac:dyDescent="0.2">
      <c r="A15" s="11"/>
      <c r="B15" s="46" t="s">
        <v>81</v>
      </c>
      <c r="C15" s="41">
        <v>14143.06542414421</v>
      </c>
      <c r="D15" s="61">
        <f>MAX(0,('AUM Build-up'!K17-'AUM Build-up'!L17)*0.05)</f>
        <v>4950.072898450474</v>
      </c>
      <c r="E15" s="41">
        <f t="shared" si="1"/>
        <v>19093.138322594685</v>
      </c>
      <c r="F15" s="41">
        <f>Assumptions!$L$32/36*1.06*1.06</f>
        <v>1826.2629014020808</v>
      </c>
      <c r="G15" s="41">
        <f>Assumptions!$E$33/36*1.06*1.06</f>
        <v>530.58888888888896</v>
      </c>
      <c r="H15" s="41">
        <f t="shared" si="0"/>
        <v>2356.8517902909698</v>
      </c>
      <c r="I15" s="41">
        <f>Assumptions!$O$30/360+Assumptions!$O$31/180+Assumptions!$O$32/180</f>
        <v>63.888888888888886</v>
      </c>
      <c r="J15" s="41">
        <f t="shared" si="2"/>
        <v>16672.397643414824</v>
      </c>
      <c r="K15" s="41">
        <f t="shared" si="3"/>
        <v>3334.4795286829649</v>
      </c>
      <c r="L15" s="41">
        <f t="shared" si="4"/>
        <v>13337.91811473186</v>
      </c>
      <c r="M15" s="11"/>
      <c r="N15" s="11"/>
      <c r="O15" s="11"/>
    </row>
    <row r="16" spans="1:15" x14ac:dyDescent="0.2">
      <c r="A16" s="11"/>
      <c r="B16" s="46" t="s">
        <v>82</v>
      </c>
      <c r="C16" s="41">
        <v>16927.750569066731</v>
      </c>
      <c r="D16" s="61">
        <f>MAX(0,('AUM Build-up'!K18-'AUM Build-up'!L18)*0.05)</f>
        <v>5924.7126991733567</v>
      </c>
      <c r="E16" s="41">
        <f t="shared" si="1"/>
        <v>22852.463268240088</v>
      </c>
      <c r="F16" s="41">
        <f>Assumptions!$L$32/36*1.06*1.06</f>
        <v>1826.2629014020808</v>
      </c>
      <c r="G16" s="41">
        <f>Assumptions!$E$33/36*1.06*1.06</f>
        <v>530.58888888888896</v>
      </c>
      <c r="H16" s="41">
        <f t="shared" si="0"/>
        <v>2356.8517902909698</v>
      </c>
      <c r="I16" s="41">
        <f>Assumptions!$O$30/360+Assumptions!$O$31/180+Assumptions!$O$32/180</f>
        <v>63.888888888888886</v>
      </c>
      <c r="J16" s="41">
        <f t="shared" si="2"/>
        <v>20431.722589060228</v>
      </c>
      <c r="K16" s="41">
        <f t="shared" si="3"/>
        <v>4086.3445178120455</v>
      </c>
      <c r="L16" s="41">
        <f t="shared" si="4"/>
        <v>16345.378071248182</v>
      </c>
      <c r="M16" s="11"/>
      <c r="N16" s="11"/>
      <c r="O16" s="11"/>
    </row>
    <row r="17" spans="1:15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</sheetData>
  <mergeCells count="1">
    <mergeCell ref="A1:G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6DD1-4A15-F345-BC7B-6DF67CBED54F}">
  <dimension ref="A1:N26"/>
  <sheetViews>
    <sheetView workbookViewId="0">
      <selection activeCell="F22" sqref="F22"/>
    </sheetView>
  </sheetViews>
  <sheetFormatPr baseColWidth="10" defaultRowHeight="16" x14ac:dyDescent="0.2"/>
  <cols>
    <col min="3" max="3" width="13.5" customWidth="1"/>
    <col min="7" max="7" width="23.5" customWidth="1"/>
    <col min="8" max="8" width="11.33203125" bestFit="1" customWidth="1"/>
    <col min="11" max="11" width="13.83203125" customWidth="1"/>
  </cols>
  <sheetData>
    <row r="1" spans="1:14" x14ac:dyDescent="0.2">
      <c r="A1" s="15" t="s">
        <v>150</v>
      </c>
      <c r="B1" s="16"/>
      <c r="C1" s="16"/>
      <c r="D1" s="16"/>
      <c r="E1" s="16"/>
      <c r="F1" s="16"/>
      <c r="G1" s="17"/>
      <c r="H1" s="11"/>
      <c r="I1" s="11"/>
      <c r="J1" s="11"/>
      <c r="K1" s="11"/>
      <c r="L1" s="11"/>
      <c r="M1" s="11"/>
      <c r="N1" s="11"/>
    </row>
    <row r="2" spans="1:14" x14ac:dyDescent="0.2">
      <c r="A2" s="18"/>
      <c r="B2" s="19"/>
      <c r="C2" s="19"/>
      <c r="D2" s="19"/>
      <c r="E2" s="19"/>
      <c r="F2" s="19"/>
      <c r="G2" s="20"/>
      <c r="H2" s="11"/>
      <c r="I2" s="11"/>
      <c r="J2" s="11"/>
      <c r="K2" s="11"/>
      <c r="L2" s="11"/>
      <c r="M2" s="11"/>
      <c r="N2" s="11"/>
    </row>
    <row r="3" spans="1:14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2">
      <c r="A4" s="11"/>
      <c r="B4" s="59" t="s">
        <v>70</v>
      </c>
      <c r="C4" s="59" t="s">
        <v>114</v>
      </c>
      <c r="D4" s="59" t="s">
        <v>104</v>
      </c>
      <c r="E4" s="59" t="s">
        <v>15</v>
      </c>
      <c r="F4" s="59" t="s">
        <v>115</v>
      </c>
      <c r="G4" s="59" t="s">
        <v>119</v>
      </c>
      <c r="H4" s="59" t="s">
        <v>116</v>
      </c>
      <c r="I4" s="12"/>
      <c r="J4" s="12"/>
      <c r="K4" s="12"/>
      <c r="L4" s="11"/>
      <c r="M4" s="11"/>
      <c r="N4" s="11"/>
    </row>
    <row r="5" spans="1:14" x14ac:dyDescent="0.2">
      <c r="A5" s="11"/>
      <c r="B5" s="46" t="s">
        <v>71</v>
      </c>
      <c r="C5" s="41">
        <f>'P&amp;L'!I5</f>
        <v>63.888888888888886</v>
      </c>
      <c r="D5" s="61">
        <f>'P&amp;L'!L5</f>
        <v>-2006.57115438904</v>
      </c>
      <c r="E5" s="61">
        <f>Assumptions!$O$30/2</f>
        <v>3500</v>
      </c>
      <c r="F5" s="61">
        <f>D5+C5-E5</f>
        <v>-5442.6822655001506</v>
      </c>
      <c r="G5" s="62">
        <f>($L$9+1)^(ROW()-5)</f>
        <v>1</v>
      </c>
      <c r="H5" s="63">
        <f>F5/G5</f>
        <v>-5442.6822655001506</v>
      </c>
      <c r="I5" s="64"/>
      <c r="J5" s="64"/>
      <c r="K5" s="65"/>
      <c r="L5" s="11"/>
      <c r="M5" s="11"/>
      <c r="N5" s="11"/>
    </row>
    <row r="6" spans="1:14" x14ac:dyDescent="0.2">
      <c r="A6" s="11"/>
      <c r="B6" s="46" t="s">
        <v>72</v>
      </c>
      <c r="C6" s="41">
        <f>'P&amp;L'!I6</f>
        <v>63.888888888888886</v>
      </c>
      <c r="D6" s="61">
        <f>'P&amp;L'!L6</f>
        <v>-1572.6787117327901</v>
      </c>
      <c r="E6" s="61">
        <f>Assumptions!$O$30/2 + Assumptions!O31</f>
        <v>7500</v>
      </c>
      <c r="F6" s="61">
        <f t="shared" ref="F6:F16" si="0">D6+C6-E6</f>
        <v>-9008.7898228439008</v>
      </c>
      <c r="G6" s="62">
        <f t="shared" ref="G6:G16" si="1">($L$9+1)^(ROW()-5)</f>
        <v>1.0433489602495716</v>
      </c>
      <c r="H6" s="63">
        <f t="shared" ref="H6:H16" si="2">F6/G6</f>
        <v>-8634.49350703237</v>
      </c>
      <c r="I6" s="64"/>
      <c r="J6" s="64"/>
      <c r="K6" s="65"/>
      <c r="L6" s="11"/>
      <c r="M6" s="11"/>
      <c r="N6" s="11"/>
    </row>
    <row r="7" spans="1:14" x14ac:dyDescent="0.2">
      <c r="A7" s="11"/>
      <c r="B7" s="46" t="s">
        <v>73</v>
      </c>
      <c r="C7" s="41">
        <f>'P&amp;L'!I7</f>
        <v>63.888888888888886</v>
      </c>
      <c r="D7" s="61">
        <f>'P&amp;L'!L7</f>
        <v>-874.93952633005551</v>
      </c>
      <c r="E7" s="61">
        <v>0</v>
      </c>
      <c r="F7" s="61">
        <f t="shared" si="0"/>
        <v>-811.0506374411666</v>
      </c>
      <c r="G7" s="62">
        <f t="shared" si="1"/>
        <v>1.0885770528538621</v>
      </c>
      <c r="H7" s="41">
        <f t="shared" si="2"/>
        <v>-745.05579124130918</v>
      </c>
      <c r="I7" s="11"/>
      <c r="J7" s="64"/>
      <c r="K7" s="65"/>
      <c r="L7" s="11"/>
      <c r="M7" s="11"/>
      <c r="N7" s="11"/>
    </row>
    <row r="8" spans="1:14" x14ac:dyDescent="0.2">
      <c r="A8" s="11"/>
      <c r="B8" s="46" t="s">
        <v>74</v>
      </c>
      <c r="C8" s="41">
        <f>'P&amp;L'!I8</f>
        <v>63.888888888888886</v>
      </c>
      <c r="D8" s="61">
        <f>'P&amp;L'!L8</f>
        <v>112.86162585378136</v>
      </c>
      <c r="E8" s="61">
        <f>Assumptions!O32</f>
        <v>4000</v>
      </c>
      <c r="F8" s="61">
        <f t="shared" si="0"/>
        <v>-3823.24948525733</v>
      </c>
      <c r="G8" s="62">
        <f t="shared" si="1"/>
        <v>1.13576573624662</v>
      </c>
      <c r="H8" s="41">
        <f t="shared" si="2"/>
        <v>-3366.2306963864512</v>
      </c>
      <c r="I8" s="11"/>
      <c r="J8" s="64"/>
      <c r="K8" s="66" t="s">
        <v>117</v>
      </c>
      <c r="L8" s="40">
        <f>Assumptions!E22</f>
        <v>0.185</v>
      </c>
      <c r="M8" s="11"/>
      <c r="N8" s="11"/>
    </row>
    <row r="9" spans="1:14" x14ac:dyDescent="0.2">
      <c r="A9" s="11"/>
      <c r="B9" s="46" t="s">
        <v>75</v>
      </c>
      <c r="C9" s="41">
        <f>'P&amp;L'!I9</f>
        <v>63.888888888888886</v>
      </c>
      <c r="D9" s="61">
        <f>'P&amp;L'!L9</f>
        <v>1185.1293488486622</v>
      </c>
      <c r="E9" s="42">
        <v>0</v>
      </c>
      <c r="F9" s="61">
        <f t="shared" si="0"/>
        <v>1249.0182377375511</v>
      </c>
      <c r="G9" s="62">
        <f t="shared" si="1"/>
        <v>1.1850000000000001</v>
      </c>
      <c r="H9" s="41">
        <f t="shared" si="2"/>
        <v>1054.0238293143891</v>
      </c>
      <c r="I9" s="64"/>
      <c r="J9" s="11"/>
      <c r="K9" s="66" t="s">
        <v>118</v>
      </c>
      <c r="L9" s="40">
        <f>POWER(1+L8,0.25)-1</f>
        <v>4.3348960249571578E-2</v>
      </c>
      <c r="M9" s="11"/>
      <c r="N9" s="11"/>
    </row>
    <row r="10" spans="1:14" x14ac:dyDescent="0.2">
      <c r="A10" s="11"/>
      <c r="B10" s="46" t="s">
        <v>76</v>
      </c>
      <c r="C10" s="41">
        <f>'P&amp;L'!I10</f>
        <v>63.888888888888886</v>
      </c>
      <c r="D10" s="61">
        <f>'P&amp;L'!L10</f>
        <v>2759.7548880904806</v>
      </c>
      <c r="E10" s="42">
        <v>0</v>
      </c>
      <c r="F10" s="61">
        <f t="shared" si="0"/>
        <v>2823.6437769793692</v>
      </c>
      <c r="G10" s="62">
        <f t="shared" si="1"/>
        <v>1.2363685178957424</v>
      </c>
      <c r="H10" s="41">
        <f t="shared" si="2"/>
        <v>2283.8205082940126</v>
      </c>
      <c r="I10" s="64"/>
      <c r="J10" s="11"/>
      <c r="K10" s="66" t="s">
        <v>121</v>
      </c>
      <c r="L10" s="41">
        <f>SUM(H5:H16)</f>
        <v>24558.064853694072</v>
      </c>
      <c r="M10" s="11"/>
      <c r="N10" s="11"/>
    </row>
    <row r="11" spans="1:14" x14ac:dyDescent="0.2">
      <c r="A11" s="11"/>
      <c r="B11" s="46" t="s">
        <v>77</v>
      </c>
      <c r="C11" s="41">
        <f>'P&amp;L'!I11</f>
        <v>63.888888888888886</v>
      </c>
      <c r="D11" s="61">
        <f>'P&amp;L'!L11</f>
        <v>4072.5305292690305</v>
      </c>
      <c r="E11" s="42">
        <v>0</v>
      </c>
      <c r="F11" s="61">
        <f t="shared" si="0"/>
        <v>4136.4194181579196</v>
      </c>
      <c r="G11" s="62">
        <f t="shared" si="1"/>
        <v>1.2899638076318267</v>
      </c>
      <c r="H11" s="41">
        <f t="shared" si="2"/>
        <v>3206.6166458977973</v>
      </c>
      <c r="I11" s="64"/>
      <c r="J11" s="11"/>
      <c r="K11" s="66" t="s">
        <v>122</v>
      </c>
      <c r="L11" s="44">
        <f>IRR(J21:L21)</f>
        <v>0.65477088125873428</v>
      </c>
      <c r="M11" s="11"/>
      <c r="N11" s="11"/>
    </row>
    <row r="12" spans="1:14" x14ac:dyDescent="0.2">
      <c r="A12" s="11"/>
      <c r="B12" s="46" t="s">
        <v>78</v>
      </c>
      <c r="C12" s="41">
        <f>'P&amp;L'!I12</f>
        <v>63.888888888888886</v>
      </c>
      <c r="D12" s="61">
        <f>'P&amp;L'!L12</f>
        <v>5636.4486441682047</v>
      </c>
      <c r="E12" s="42">
        <v>0</v>
      </c>
      <c r="F12" s="61">
        <f t="shared" si="0"/>
        <v>5700.3375330570934</v>
      </c>
      <c r="G12" s="62">
        <f t="shared" si="1"/>
        <v>1.3458823974522447</v>
      </c>
      <c r="H12" s="41">
        <f t="shared" si="2"/>
        <v>4235.3905094886686</v>
      </c>
      <c r="I12" s="64"/>
      <c r="J12" s="11"/>
      <c r="K12" s="65"/>
      <c r="L12" s="11"/>
      <c r="M12" s="11"/>
      <c r="N12" s="11"/>
    </row>
    <row r="13" spans="1:14" x14ac:dyDescent="0.2">
      <c r="A13" s="11"/>
      <c r="B13" s="46" t="s">
        <v>79</v>
      </c>
      <c r="C13" s="41">
        <f>'P&amp;L'!I13</f>
        <v>63.888888888888886</v>
      </c>
      <c r="D13" s="61">
        <f>'P&amp;L'!L13</f>
        <v>7913.1355569894686</v>
      </c>
      <c r="E13" s="42">
        <v>0</v>
      </c>
      <c r="F13" s="61">
        <f t="shared" si="0"/>
        <v>7977.0244458783573</v>
      </c>
      <c r="G13" s="62">
        <f t="shared" si="1"/>
        <v>1.4042250000000001</v>
      </c>
      <c r="H13" s="41">
        <f t="shared" si="2"/>
        <v>5680.730969665372</v>
      </c>
      <c r="I13" s="64"/>
      <c r="J13" s="11"/>
      <c r="K13" s="65"/>
      <c r="L13" s="11"/>
      <c r="M13" s="11"/>
      <c r="N13" s="11"/>
    </row>
    <row r="14" spans="1:14" x14ac:dyDescent="0.2">
      <c r="A14" s="11"/>
      <c r="B14" s="46" t="s">
        <v>80</v>
      </c>
      <c r="C14" s="41">
        <f>'P&amp;L'!I14</f>
        <v>63.888888888888886</v>
      </c>
      <c r="D14" s="61">
        <f>'P&amp;L'!L14</f>
        <v>10528.519798745303</v>
      </c>
      <c r="E14" s="42">
        <v>0</v>
      </c>
      <c r="F14" s="61">
        <f t="shared" si="0"/>
        <v>10592.408687634192</v>
      </c>
      <c r="G14" s="62">
        <f t="shared" si="1"/>
        <v>1.4650966937064547</v>
      </c>
      <c r="H14" s="41">
        <f t="shared" si="2"/>
        <v>7229.8359098996616</v>
      </c>
      <c r="I14" s="64"/>
      <c r="J14" s="11"/>
      <c r="K14" s="65"/>
      <c r="L14" s="11"/>
      <c r="M14" s="11"/>
      <c r="N14" s="11"/>
    </row>
    <row r="15" spans="1:14" x14ac:dyDescent="0.2">
      <c r="A15" s="11"/>
      <c r="B15" s="46" t="s">
        <v>81</v>
      </c>
      <c r="C15" s="41">
        <f>'P&amp;L'!I15</f>
        <v>63.888888888888886</v>
      </c>
      <c r="D15" s="61">
        <f>'P&amp;L'!L15</f>
        <v>13337.91811473186</v>
      </c>
      <c r="E15" s="42">
        <v>0</v>
      </c>
      <c r="F15" s="61">
        <f t="shared" si="0"/>
        <v>13401.807003620748</v>
      </c>
      <c r="G15" s="62">
        <f t="shared" si="1"/>
        <v>1.5286071120437146</v>
      </c>
      <c r="H15" s="41">
        <f t="shared" si="2"/>
        <v>8767.3326246028137</v>
      </c>
      <c r="I15" s="64"/>
      <c r="J15" s="11"/>
      <c r="K15" s="65"/>
      <c r="L15" s="11"/>
      <c r="M15" s="11"/>
      <c r="N15" s="11"/>
    </row>
    <row r="16" spans="1:14" x14ac:dyDescent="0.2">
      <c r="A16" s="11"/>
      <c r="B16" s="46" t="s">
        <v>82</v>
      </c>
      <c r="C16" s="41">
        <f>'P&amp;L'!I16</f>
        <v>63.888888888888886</v>
      </c>
      <c r="D16" s="61">
        <f>'P&amp;L'!L16</f>
        <v>16345.378071248182</v>
      </c>
      <c r="E16" s="42">
        <v>0</v>
      </c>
      <c r="F16" s="61">
        <f t="shared" si="0"/>
        <v>16409.266960137073</v>
      </c>
      <c r="G16" s="62">
        <f t="shared" si="1"/>
        <v>1.5948706409809101</v>
      </c>
      <c r="H16" s="41">
        <f t="shared" si="2"/>
        <v>10288.776116691639</v>
      </c>
      <c r="I16" s="64"/>
      <c r="J16" s="11"/>
      <c r="K16" s="65"/>
      <c r="L16" s="11"/>
      <c r="M16" s="11"/>
      <c r="N16" s="11"/>
    </row>
    <row r="17" spans="1:14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 t="s">
        <v>123</v>
      </c>
      <c r="K18" s="11"/>
      <c r="L18" s="11"/>
      <c r="M18" s="11"/>
      <c r="N18" s="11"/>
    </row>
    <row r="19" spans="1:14" ht="33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67" t="s">
        <v>152</v>
      </c>
      <c r="K19" s="67"/>
      <c r="L19" s="67"/>
      <c r="M19" s="67"/>
      <c r="N19" s="11"/>
    </row>
    <row r="20" spans="1:14" ht="33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47">
        <v>2027</v>
      </c>
      <c r="K20" s="47">
        <v>2028</v>
      </c>
      <c r="L20" s="68">
        <v>2029</v>
      </c>
      <c r="M20" s="68"/>
      <c r="N20" s="11"/>
    </row>
    <row r="21" spans="1:14" x14ac:dyDescent="0.2">
      <c r="A21" s="11"/>
      <c r="B21" s="11"/>
      <c r="C21" s="11"/>
      <c r="D21" s="11"/>
      <c r="E21" s="11"/>
      <c r="F21" s="11"/>
      <c r="G21" s="11"/>
      <c r="H21" s="11"/>
      <c r="I21" s="11"/>
      <c r="J21" s="63">
        <f>SUM(H5:H8)</f>
        <v>-18188.462260160282</v>
      </c>
      <c r="K21" s="41">
        <f>SUM(H9:H12)</f>
        <v>10779.851492994867</v>
      </c>
      <c r="L21" s="69">
        <f>SUM(H13:H16)</f>
        <v>31966.675620859489</v>
      </c>
      <c r="M21" s="31"/>
      <c r="N21" s="11"/>
    </row>
    <row r="22" spans="1:14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</sheetData>
  <mergeCells count="4">
    <mergeCell ref="J19:M19"/>
    <mergeCell ref="L20:M20"/>
    <mergeCell ref="L21:M21"/>
    <mergeCell ref="A1:G2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06F2-6661-A342-906A-CB47799C682C}">
  <dimension ref="A1:J25"/>
  <sheetViews>
    <sheetView workbookViewId="0">
      <selection activeCell="H14" sqref="H14"/>
    </sheetView>
  </sheetViews>
  <sheetFormatPr baseColWidth="10" defaultRowHeight="16" x14ac:dyDescent="0.2"/>
  <cols>
    <col min="3" max="3" width="27.6640625" customWidth="1"/>
    <col min="7" max="7" width="15.1640625" customWidth="1"/>
  </cols>
  <sheetData>
    <row r="1" spans="1:10" x14ac:dyDescent="0.2">
      <c r="A1" s="15" t="s">
        <v>150</v>
      </c>
      <c r="B1" s="16"/>
      <c r="C1" s="16"/>
      <c r="D1" s="16"/>
      <c r="E1" s="16"/>
      <c r="F1" s="16"/>
      <c r="G1" s="17"/>
      <c r="H1" s="11"/>
      <c r="I1" s="11"/>
      <c r="J1" s="11"/>
    </row>
    <row r="2" spans="1:10" x14ac:dyDescent="0.2">
      <c r="A2" s="18"/>
      <c r="B2" s="19"/>
      <c r="C2" s="19"/>
      <c r="D2" s="19"/>
      <c r="E2" s="19"/>
      <c r="F2" s="19"/>
      <c r="G2" s="20"/>
      <c r="H2" s="11"/>
      <c r="I2" s="11"/>
      <c r="J2" s="11"/>
    </row>
    <row r="3" spans="1:10" x14ac:dyDescent="0.2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4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36" customHeight="1" x14ac:dyDescent="0.2">
      <c r="A7" s="11"/>
      <c r="B7" s="11"/>
      <c r="C7" s="59" t="s">
        <v>124</v>
      </c>
      <c r="D7" s="59">
        <v>2027</v>
      </c>
      <c r="E7" s="59">
        <v>2028</v>
      </c>
      <c r="F7" s="59">
        <v>2029</v>
      </c>
      <c r="G7" s="59" t="s">
        <v>125</v>
      </c>
      <c r="H7" s="11"/>
      <c r="I7" s="11"/>
      <c r="J7" s="11"/>
    </row>
    <row r="8" spans="1:10" x14ac:dyDescent="0.2">
      <c r="A8" s="11"/>
      <c r="B8" s="11"/>
      <c r="C8" s="46" t="s">
        <v>126</v>
      </c>
      <c r="D8" s="40">
        <f>SUM('P&amp;L'!J5:J8)/SUM('P&amp;L'!E5:E8)</f>
        <v>-0.99545567804549662</v>
      </c>
      <c r="E8" s="40">
        <f>SUM('P&amp;L'!J9:J12)/SUM('P&amp;L'!E9:E12)</f>
        <v>0.65101068954801045</v>
      </c>
      <c r="F8" s="40">
        <f>SUM('P&amp;L'!J13:J16)/SUM('P&amp;L'!E13:E16)</f>
        <v>0.86135337529909684</v>
      </c>
      <c r="G8" s="40">
        <f>SUM('P&amp;L'!J5:J16)/SUM('P&amp;L'!E5:E16)</f>
        <v>0.7262815927814118</v>
      </c>
      <c r="H8" s="11"/>
      <c r="I8" s="11"/>
      <c r="J8" s="11"/>
    </row>
    <row r="9" spans="1:10" x14ac:dyDescent="0.2">
      <c r="A9" s="11"/>
      <c r="B9" s="11"/>
      <c r="C9" s="46" t="s">
        <v>131</v>
      </c>
      <c r="D9" s="41" t="s">
        <v>132</v>
      </c>
      <c r="E9" s="41" t="s">
        <v>132</v>
      </c>
      <c r="F9" s="41" t="s">
        <v>132</v>
      </c>
      <c r="G9" s="41">
        <f>(1000+Assumptions!E32+Assumptions!O31+Assumptions!O30+Assumptions!E30+Assumptions!L31)/26245 * 1000</f>
        <v>1524.0998285387693</v>
      </c>
      <c r="H9" s="11"/>
      <c r="I9" s="11"/>
      <c r="J9" s="11"/>
    </row>
    <row r="10" spans="1:10" x14ac:dyDescent="0.2">
      <c r="A10" s="11"/>
      <c r="B10" s="11"/>
      <c r="C10" s="46" t="s">
        <v>129</v>
      </c>
      <c r="D10" s="42" t="s">
        <v>132</v>
      </c>
      <c r="E10" s="42" t="s">
        <v>132</v>
      </c>
      <c r="F10" s="42" t="s">
        <v>132</v>
      </c>
      <c r="G10" s="43">
        <f>SUM('P&amp;L'!L5:L16)/Assumptions!N67 * 1000 * (1/(1-(Segments!F6*Segments!C6+Segments!F7*Segments!C7+Segments!F8*Segments!C8+Segments!F9*Segments!C9+Segments!F10*Segments!C10)))</f>
        <v>5337.8331933602303</v>
      </c>
      <c r="H10" s="11"/>
      <c r="I10" s="11"/>
      <c r="J10" s="11"/>
    </row>
    <row r="11" spans="1:10" x14ac:dyDescent="0.2">
      <c r="A11" s="11"/>
      <c r="B11" s="11"/>
      <c r="C11" s="46" t="s">
        <v>127</v>
      </c>
      <c r="D11" s="42" t="s">
        <v>132</v>
      </c>
      <c r="E11" s="42" t="s">
        <v>132</v>
      </c>
      <c r="F11" s="42" t="s">
        <v>132</v>
      </c>
      <c r="G11" s="40">
        <f>G10/G9</f>
        <v>3.5022858039934812</v>
      </c>
      <c r="H11" s="11"/>
      <c r="I11" s="11"/>
      <c r="J11" s="11"/>
    </row>
    <row r="12" spans="1:10" x14ac:dyDescent="0.2">
      <c r="A12" s="11"/>
      <c r="B12" s="11"/>
      <c r="C12" s="46" t="s">
        <v>143</v>
      </c>
      <c r="D12" s="42" t="s">
        <v>132</v>
      </c>
      <c r="E12" s="42" t="s">
        <v>132</v>
      </c>
      <c r="F12" s="42" t="s">
        <v>132</v>
      </c>
      <c r="G12" s="42" t="s">
        <v>149</v>
      </c>
      <c r="H12" s="11"/>
      <c r="I12" s="11"/>
      <c r="J12" s="11"/>
    </row>
    <row r="13" spans="1:10" x14ac:dyDescent="0.2">
      <c r="A13" s="11"/>
      <c r="B13" s="11"/>
      <c r="C13" s="46" t="s">
        <v>130</v>
      </c>
      <c r="D13" s="42" t="s">
        <v>132</v>
      </c>
      <c r="E13" s="42" t="s">
        <v>132</v>
      </c>
      <c r="F13" s="42" t="s">
        <v>132</v>
      </c>
      <c r="G13" s="40">
        <f>G8</f>
        <v>0.7262815927814118</v>
      </c>
      <c r="H13" s="11"/>
      <c r="I13" s="11"/>
      <c r="J13" s="11"/>
    </row>
    <row r="14" spans="1:10" x14ac:dyDescent="0.2">
      <c r="A14" s="11"/>
      <c r="B14" s="11"/>
      <c r="C14" s="46" t="s">
        <v>122</v>
      </c>
      <c r="D14" s="42" t="s">
        <v>132</v>
      </c>
      <c r="E14" s="42" t="s">
        <v>132</v>
      </c>
      <c r="F14" s="42" t="s">
        <v>132</v>
      </c>
      <c r="G14" s="44">
        <f>DCF!L11</f>
        <v>0.65477088125873428</v>
      </c>
      <c r="H14" s="11"/>
      <c r="I14" s="11"/>
      <c r="J14" s="11"/>
    </row>
    <row r="15" spans="1:10" x14ac:dyDescent="0.2">
      <c r="A15" s="11"/>
      <c r="B15" s="11"/>
      <c r="C15" s="46" t="s">
        <v>120</v>
      </c>
      <c r="D15" s="42" t="s">
        <v>132</v>
      </c>
      <c r="E15" s="42" t="s">
        <v>132</v>
      </c>
      <c r="F15" s="42" t="s">
        <v>132</v>
      </c>
      <c r="G15" s="41">
        <f>DCF!L10 * 1000</f>
        <v>24558064.85369407</v>
      </c>
      <c r="H15" s="11"/>
      <c r="I15" s="11"/>
      <c r="J15" s="11"/>
    </row>
    <row r="16" spans="1:10" ht="32" customHeight="1" x14ac:dyDescent="0.2">
      <c r="A16" s="11"/>
      <c r="B16" s="11"/>
      <c r="C16" s="47" t="s">
        <v>128</v>
      </c>
      <c r="D16" s="44">
        <v>0.06</v>
      </c>
      <c r="E16" s="44">
        <v>0.08</v>
      </c>
      <c r="F16" s="44">
        <v>0.11</v>
      </c>
      <c r="G16" s="44">
        <v>0.11</v>
      </c>
      <c r="H16" s="11"/>
      <c r="I16" s="11"/>
      <c r="J16" s="11"/>
    </row>
    <row r="17" spans="1:10" x14ac:dyDescent="0.2">
      <c r="A17" s="11"/>
      <c r="B17" s="11"/>
      <c r="C17" s="12"/>
      <c r="D17" s="11"/>
      <c r="E17" s="11"/>
      <c r="F17" s="11"/>
      <c r="G17" s="11"/>
      <c r="H17" s="11"/>
      <c r="I17" s="11"/>
      <c r="J17" s="11"/>
    </row>
    <row r="18" spans="1:10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</row>
  </sheetData>
  <mergeCells count="1">
    <mergeCell ref="A1:G2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FB63-C633-B145-BD52-4D8D347DAEE9}">
  <dimension ref="A1:R25"/>
  <sheetViews>
    <sheetView zoomScale="110" workbookViewId="0">
      <selection activeCell="I7" sqref="I7"/>
    </sheetView>
  </sheetViews>
  <sheetFormatPr baseColWidth="10" defaultRowHeight="16" x14ac:dyDescent="0.2"/>
  <cols>
    <col min="4" max="4" width="17.1640625" customWidth="1"/>
    <col min="5" max="7" width="11" bestFit="1" customWidth="1"/>
    <col min="10" max="11" width="11.33203125" bestFit="1" customWidth="1"/>
  </cols>
  <sheetData>
    <row r="1" spans="1:18" x14ac:dyDescent="0.2">
      <c r="A1" s="14" t="s">
        <v>150</v>
      </c>
      <c r="B1" s="14"/>
      <c r="C1" s="14"/>
      <c r="D1" s="14"/>
      <c r="E1" s="14"/>
      <c r="F1" s="14"/>
      <c r="G1" s="14"/>
      <c r="H1" s="11"/>
      <c r="I1" s="11"/>
      <c r="J1" s="11"/>
      <c r="K1" s="11"/>
      <c r="L1" s="11"/>
      <c r="M1" s="11"/>
      <c r="N1" s="11"/>
    </row>
    <row r="2" spans="1:18" x14ac:dyDescent="0.2">
      <c r="A2" s="14"/>
      <c r="B2" s="14"/>
      <c r="C2" s="14"/>
      <c r="D2" s="14"/>
      <c r="E2" s="14"/>
      <c r="F2" s="14"/>
      <c r="G2" s="14"/>
      <c r="H2" s="11"/>
      <c r="I2" s="11"/>
      <c r="J2" s="11"/>
      <c r="K2" s="11"/>
      <c r="L2" s="11"/>
      <c r="M2" s="11"/>
      <c r="N2" s="11"/>
    </row>
    <row r="3" spans="1:18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8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8" x14ac:dyDescent="0.2">
      <c r="A5" s="11"/>
      <c r="B5" s="12"/>
      <c r="C5" s="45" t="s">
        <v>55</v>
      </c>
      <c r="D5" s="45"/>
      <c r="E5" s="59" t="s">
        <v>135</v>
      </c>
      <c r="F5" s="59" t="s">
        <v>136</v>
      </c>
      <c r="G5" s="59" t="s">
        <v>137</v>
      </c>
      <c r="H5" s="59" t="s">
        <v>138</v>
      </c>
      <c r="I5" s="11"/>
      <c r="J5" s="11"/>
      <c r="K5" s="11"/>
      <c r="L5" s="11"/>
      <c r="M5" s="11"/>
      <c r="N5" s="11"/>
    </row>
    <row r="6" spans="1:18" x14ac:dyDescent="0.2">
      <c r="A6" s="11"/>
      <c r="B6" s="11"/>
      <c r="C6" s="51" t="s">
        <v>41</v>
      </c>
      <c r="D6" s="51"/>
      <c r="E6" s="41">
        <f>DCF!$L$10</f>
        <v>24558.064853694072</v>
      </c>
      <c r="F6" s="41">
        <v>28975</v>
      </c>
      <c r="G6" s="41">
        <v>20136.330000000002</v>
      </c>
      <c r="H6" s="42" t="s">
        <v>139</v>
      </c>
      <c r="I6" s="11"/>
      <c r="J6" s="11"/>
      <c r="K6" s="60"/>
      <c r="L6" s="11"/>
      <c r="M6" s="11"/>
      <c r="N6" s="11"/>
    </row>
    <row r="7" spans="1:18" x14ac:dyDescent="0.2">
      <c r="A7" s="11"/>
      <c r="B7" s="11"/>
      <c r="C7" s="52" t="s">
        <v>134</v>
      </c>
      <c r="D7" s="52"/>
      <c r="E7" s="41">
        <f>DCF!$L$10</f>
        <v>24558.064853694072</v>
      </c>
      <c r="F7" s="41">
        <v>27790.3</v>
      </c>
      <c r="G7" s="41">
        <v>21312.61</v>
      </c>
      <c r="H7" s="42" t="s">
        <v>141</v>
      </c>
      <c r="I7" s="60"/>
      <c r="J7" s="11"/>
      <c r="K7" s="60"/>
      <c r="L7" s="11"/>
      <c r="M7" s="11"/>
      <c r="N7" s="11"/>
    </row>
    <row r="8" spans="1:18" x14ac:dyDescent="0.2">
      <c r="A8" s="11"/>
      <c r="B8" s="11"/>
      <c r="C8" s="52" t="s">
        <v>133</v>
      </c>
      <c r="D8" s="52"/>
      <c r="E8" s="41">
        <f>DCF!$L$10</f>
        <v>24558.064853694072</v>
      </c>
      <c r="F8" s="41">
        <v>29941.3</v>
      </c>
      <c r="G8" s="41">
        <v>19159.13</v>
      </c>
      <c r="H8" s="42" t="s">
        <v>139</v>
      </c>
      <c r="I8" s="11"/>
      <c r="J8" s="60"/>
      <c r="K8" s="60"/>
      <c r="L8" s="11"/>
      <c r="M8" s="11"/>
      <c r="N8" s="11"/>
    </row>
    <row r="9" spans="1:18" x14ac:dyDescent="0.2">
      <c r="A9" s="11"/>
      <c r="B9" s="11"/>
      <c r="C9" s="52" t="s">
        <v>117</v>
      </c>
      <c r="D9" s="52"/>
      <c r="E9" s="41">
        <f>DCF!$L$10</f>
        <v>24558.064853694072</v>
      </c>
      <c r="F9" s="41">
        <v>26103.01</v>
      </c>
      <c r="G9" s="41">
        <v>23099.49</v>
      </c>
      <c r="H9" s="42" t="s">
        <v>140</v>
      </c>
      <c r="I9" s="11"/>
      <c r="J9" s="11"/>
      <c r="K9" s="60"/>
      <c r="L9" s="11"/>
      <c r="M9" s="11"/>
      <c r="N9" s="11"/>
    </row>
    <row r="10" spans="1:18" x14ac:dyDescent="0.2">
      <c r="A10" s="11"/>
      <c r="B10" s="11"/>
      <c r="C10" s="52" t="s">
        <v>40</v>
      </c>
      <c r="D10" s="52"/>
      <c r="E10" s="41">
        <f>DCF!$L$10</f>
        <v>24558.064853694072</v>
      </c>
      <c r="F10" s="41">
        <v>25523.83</v>
      </c>
      <c r="G10" s="41">
        <v>23592.3</v>
      </c>
      <c r="H10" s="42" t="s">
        <v>139</v>
      </c>
      <c r="I10" s="11"/>
      <c r="J10" s="11"/>
      <c r="K10" s="11"/>
      <c r="L10" s="11"/>
      <c r="M10" s="11"/>
      <c r="N10" s="11"/>
    </row>
    <row r="11" spans="1:18" x14ac:dyDescent="0.2">
      <c r="A11" s="11"/>
      <c r="B11" s="11"/>
      <c r="C11" s="11"/>
      <c r="D11" s="11"/>
      <c r="E11" s="11"/>
      <c r="F11" s="60"/>
      <c r="G11" s="60"/>
      <c r="H11" s="11"/>
      <c r="I11" s="11"/>
      <c r="J11" s="52" t="s">
        <v>142</v>
      </c>
      <c r="K11" s="52"/>
      <c r="L11" s="11"/>
      <c r="M11" s="11"/>
      <c r="N11" s="11"/>
    </row>
    <row r="12" spans="1:18" x14ac:dyDescent="0.2">
      <c r="A12" s="11"/>
      <c r="B12" s="11"/>
      <c r="C12" s="11"/>
      <c r="D12" s="11"/>
      <c r="E12" s="11"/>
      <c r="F12" s="11"/>
      <c r="G12" s="11"/>
      <c r="H12" s="11"/>
      <c r="I12" s="11"/>
      <c r="J12" s="41">
        <f>G10-E10</f>
        <v>-965.76485369407237</v>
      </c>
      <c r="K12" s="41">
        <f>F10-E10</f>
        <v>965.7651463059301</v>
      </c>
      <c r="L12" s="11"/>
      <c r="M12" s="60"/>
      <c r="N12" s="60"/>
    </row>
    <row r="13" spans="1:18" x14ac:dyDescent="0.2">
      <c r="A13" s="11"/>
      <c r="B13" s="11"/>
      <c r="C13" s="11"/>
      <c r="D13" s="11"/>
      <c r="E13" s="11"/>
      <c r="F13" s="11"/>
      <c r="G13" s="11"/>
      <c r="H13" s="11"/>
      <c r="I13" s="11"/>
      <c r="J13" s="41">
        <f>G9-E9</f>
        <v>-1458.57485369407</v>
      </c>
      <c r="K13" s="41">
        <f>F9-E9</f>
        <v>1544.9451463059268</v>
      </c>
      <c r="L13" s="11"/>
      <c r="M13" s="60"/>
      <c r="N13" s="60"/>
    </row>
    <row r="14" spans="1:1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41">
        <f>G7-E7</f>
        <v>-3245.4548536940711</v>
      </c>
      <c r="K14" s="41">
        <f>F7-E7</f>
        <v>3232.2351463059276</v>
      </c>
      <c r="L14" s="11"/>
      <c r="M14" s="60"/>
      <c r="N14" s="60"/>
    </row>
    <row r="15" spans="1:1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41">
        <f>G6-E6</f>
        <v>-4421.7348536940699</v>
      </c>
      <c r="K15" s="41">
        <f>F6-E6</f>
        <v>4416.9351463059284</v>
      </c>
      <c r="L15" s="11"/>
      <c r="M15" s="60"/>
      <c r="N15" s="60"/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41">
        <f>G8-E8</f>
        <v>-5398.9348536940706</v>
      </c>
      <c r="K16" s="41">
        <f>F8-E8</f>
        <v>5383.2351463059276</v>
      </c>
      <c r="L16" s="11"/>
      <c r="M16" s="60"/>
      <c r="N16" s="60"/>
      <c r="O16" s="9"/>
      <c r="P16" s="9"/>
      <c r="Q16" s="9"/>
      <c r="R16" s="9"/>
    </row>
    <row r="17" spans="1:18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60"/>
      <c r="O17" s="9"/>
      <c r="P17" s="9"/>
      <c r="Q17" s="9"/>
      <c r="R17" s="9"/>
    </row>
    <row r="18" spans="1:18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8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8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9"/>
      <c r="P21" s="9"/>
    </row>
    <row r="22" spans="1:18" x14ac:dyDescent="0.2">
      <c r="O22" s="9"/>
      <c r="P22" s="9"/>
    </row>
    <row r="23" spans="1:18" x14ac:dyDescent="0.2">
      <c r="O23" s="9"/>
      <c r="P23" s="9"/>
    </row>
    <row r="24" spans="1:18" x14ac:dyDescent="0.2">
      <c r="O24" s="9"/>
      <c r="P24" s="9"/>
    </row>
    <row r="25" spans="1:18" x14ac:dyDescent="0.2">
      <c r="O25" s="9"/>
      <c r="P25" s="9"/>
    </row>
  </sheetData>
  <mergeCells count="8">
    <mergeCell ref="A1:G2"/>
    <mergeCell ref="C10:D10"/>
    <mergeCell ref="J11:K11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Segments</vt:lpstr>
      <vt:lpstr>Assumptions</vt:lpstr>
      <vt:lpstr>AUM Build-up</vt:lpstr>
      <vt:lpstr>P&amp;L</vt:lpstr>
      <vt:lpstr>DCF</vt:lpstr>
      <vt:lpstr>Метрики</vt:lpstr>
      <vt:lpstr>Sensivity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2026-03-24T18:36:03Z</dcterms:created>
  <dcterms:modified xsi:type="dcterms:W3CDTF">2026-03-30T01:33:41Z</dcterms:modified>
</cp:coreProperties>
</file>